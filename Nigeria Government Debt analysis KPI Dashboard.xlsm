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fahd\Documents\A NIIT FOLDER\B) Excel work sheet folder\"/>
    </mc:Choice>
  </mc:AlternateContent>
  <xr:revisionPtr revIDLastSave="0" documentId="13_ncr:1_{458D7547-C75A-4229-A934-307AE335835D}" xr6:coauthVersionLast="47" xr6:coauthVersionMax="47" xr10:uidLastSave="{00000000-0000-0000-0000-000000000000}"/>
  <bookViews>
    <workbookView xWindow="-120" yWindow="-120" windowWidth="20730" windowHeight="11160" activeTab="1" xr2:uid="{78190B6B-516E-4A56-85E0-1529FD8191F8}"/>
  </bookViews>
  <sheets>
    <sheet name="Homepage" sheetId="6" r:id="rId1"/>
    <sheet name="Dashboard Report" sheetId="1" r:id="rId2"/>
    <sheet name="Report Sheet" sheetId="5" r:id="rId3"/>
    <sheet name="Total Debt Master" sheetId="2" r:id="rId4"/>
    <sheet name="Multilateral Debt Master " sheetId="3" r:id="rId5"/>
    <sheet name="Master " sheetId="4" r:id="rId6"/>
  </sheets>
  <definedNames>
    <definedName name="_xlchart.v1.0" hidden="1">'Report Sheet'!$A$6</definedName>
    <definedName name="_xlchart.v1.1" hidden="1">'Report Sheet'!$B$6:$C$6</definedName>
    <definedName name="_xlcn.WorksheetConnection_Book1_Master1" hidden="1">_Master[]</definedName>
    <definedName name="_xlcn.WorksheetConnection_Book1_Multilateral_Debt1" hidden="1">_Multilateral_Debt[]</definedName>
    <definedName name="_xlcn.WorksheetConnection_Book1_Total_Debt1" hidden="1">_Total_Debt[]</definedName>
    <definedName name="CommercialEurobonds___Diaspora_BondsUSD_and_Local_Contractors">#REF!</definedName>
    <definedName name="Slicer_Date_Hierarchy">#N/A</definedName>
    <definedName name="Slicer_States_FGN">#N/A</definedName>
  </definedNames>
  <calcPr calcId="191029"/>
  <pivotCaches>
    <pivotCache cacheId="70" r:id="rId7"/>
    <pivotCache cacheId="109" r:id="rId8"/>
    <pivotCache cacheId="112" r:id="rId9"/>
    <pivotCache cacheId="115" r:id="rId10"/>
  </pivotCaches>
  <extLst>
    <ext xmlns:x14="http://schemas.microsoft.com/office/spreadsheetml/2009/9/main" uri="{876F7934-8845-4945-9796-88D515C7AA90}">
      <x14:pivotCaches>
        <pivotCache cacheId="4" r:id="rId11"/>
      </x14:pivotCaches>
    </ex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_Total_Debt" name="_Total_Debt" connection="WorksheetConnection_Book1!_Total_Debt"/>
          <x15:modelTable id="_Multilateral_Debt" name="_Multilateral_Debt" connection="WorksheetConnection_Book1!_Multilateral_Debt"/>
          <x15:modelTable id="_Master" name="_Master" connection="WorksheetConnection_Book1!_Master"/>
          <x15:modelTable id="Calendar" name="Calendar" connection="Connection"/>
        </x15:modelTables>
        <x15:modelRelationships>
          <x15:modelRelationship fromTable="_Total_Debt" fromColumn="Total Debt Each Year" toTable="_Master" toColumn="States/FGN"/>
          <x15:modelRelationship fromTable="_Total_Debt" fromColumn="Date" toTable="Calendar" toColumn="Date"/>
          <x15:modelRelationship fromTable="_Multilateral_Debt" fromColumn="Total Debt Each Year" toTable="_Master" toColumn="States/FGN"/>
          <x15:modelRelationship fromTable="_Multilateral_Debt" fromColumn="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6" i="5" l="1"/>
  <c r="E7" i="5"/>
  <c r="D7" i="5"/>
  <c r="D6" i="5"/>
  <c r="C6" i="5"/>
  <c r="C7"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C04B20-9CF6-4C93-9CF3-B4EF9252BC7C}" name="Connection" type="104" refreshedVersion="0" background="1">
    <extLst>
      <ext xmlns:x15="http://schemas.microsoft.com/office/spreadsheetml/2010/11/main" uri="{DE250136-89BD-433C-8126-D09CA5730AF9}">
        <x15:connection id="Calendar"/>
      </ext>
    </extLst>
  </connection>
  <connection id="2" xr16:uid="{51C83D8F-BE8C-41A6-88C0-36A6BDA455F3}"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BF47EC21-8CD7-4E97-8185-E60B9007D673}" name="WorksheetConnection_Book1!_Master" type="102" refreshedVersion="6" minRefreshableVersion="5">
    <extLst>
      <ext xmlns:x15="http://schemas.microsoft.com/office/spreadsheetml/2010/11/main" uri="{DE250136-89BD-433C-8126-D09CA5730AF9}">
        <x15:connection id="_Master">
          <x15:rangePr sourceName="_xlcn.WorksheetConnection_Book1_Master1"/>
        </x15:connection>
      </ext>
    </extLst>
  </connection>
  <connection id="4" xr16:uid="{BFC7F282-7775-48B5-814E-658BEC61C9E3}" name="WorksheetConnection_Book1!_Multilateral_Debt" type="102" refreshedVersion="6" minRefreshableVersion="5">
    <extLst>
      <ext xmlns:x15="http://schemas.microsoft.com/office/spreadsheetml/2010/11/main" uri="{DE250136-89BD-433C-8126-D09CA5730AF9}">
        <x15:connection id="_Multilateral_Debt">
          <x15:rangePr sourceName="_xlcn.WorksheetConnection_Book1_Multilateral_Debt1"/>
        </x15:connection>
      </ext>
    </extLst>
  </connection>
  <connection id="5" xr16:uid="{60B62688-BA7C-46C7-A251-0EC356F30DF0}" name="WorksheetConnection_Book1!_Total_Debt" type="102" refreshedVersion="6" minRefreshableVersion="5">
    <extLst>
      <ext xmlns:x15="http://schemas.microsoft.com/office/spreadsheetml/2010/11/main" uri="{DE250136-89BD-433C-8126-D09CA5730AF9}">
        <x15:connection id="_Total_Debt">
          <x15:rangePr sourceName="_xlcn.WorksheetConnection_Book1_Total_Debt1"/>
        </x15:connection>
      </ext>
    </extLst>
  </connection>
</connections>
</file>

<file path=xl/sharedStrings.xml><?xml version="1.0" encoding="utf-8"?>
<sst xmlns="http://schemas.openxmlformats.org/spreadsheetml/2006/main" count="535" uniqueCount="65">
  <si>
    <t>Date</t>
  </si>
  <si>
    <t>Total Debt Each Year</t>
  </si>
  <si>
    <t>Total Sum Of Debt</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</si>
  <si>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</si>
  <si>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</si>
  <si>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</si>
  <si>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</si>
  <si>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</si>
  <si>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</si>
  <si>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</si>
  <si>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</si>
  <si>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</si>
  <si>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</si>
  <si>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</si>
  <si>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</si>
  <si>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</si>
  <si>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</si>
  <si>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</si>
  <si>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</si>
  <si>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</si>
  <si>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</si>
  <si>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</si>
  <si>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</si>
  <si>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</si>
  <si>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</si>
  <si>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</si>
  <si>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</si>
  <si>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Nassarawa</t>
  </si>
  <si>
    <t>Niger</t>
  </si>
  <si>
    <t>Ogun</t>
  </si>
  <si>
    <t>Ondo</t>
  </si>
  <si>
    <t>Osun</t>
  </si>
  <si>
    <t>Oyo</t>
  </si>
  <si>
    <t>Plateau</t>
  </si>
  <si>
    <t>Rivers</t>
  </si>
  <si>
    <t>Sokoto</t>
  </si>
  <si>
    <t>Taraba</t>
  </si>
  <si>
    <t>Yobe</t>
  </si>
  <si>
    <t>Zamfara</t>
  </si>
  <si>
    <t>FCT</t>
  </si>
  <si>
    <t>FGN</t>
  </si>
  <si>
    <t>States</t>
  </si>
  <si>
    <t>States/FGN</t>
  </si>
  <si>
    <t>Series</t>
  </si>
  <si>
    <t>Current Year Debt</t>
  </si>
  <si>
    <t>Previous Year Debt</t>
  </si>
  <si>
    <t>Multilateral Debt</t>
  </si>
  <si>
    <t>YOY</t>
  </si>
  <si>
    <t>Multilateral Debt Variance</t>
  </si>
  <si>
    <t>Values</t>
  </si>
  <si>
    <t>Grand Total</t>
  </si>
  <si>
    <t>January</t>
  </si>
  <si>
    <t>February</t>
  </si>
  <si>
    <t>March</t>
  </si>
  <si>
    <t>April</t>
  </si>
  <si>
    <t>May</t>
  </si>
  <si>
    <t>June</t>
  </si>
  <si>
    <t>Month</t>
  </si>
  <si>
    <t>Green</t>
  </si>
  <si>
    <t>Red</t>
  </si>
  <si>
    <t>July</t>
  </si>
  <si>
    <t>August</t>
  </si>
  <si>
    <t>September</t>
  </si>
  <si>
    <t>October</t>
  </si>
  <si>
    <t>Yearly Debt Comparison By 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</si>
</sst>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
    <numFmt numFmtId="165" formatCode="[&gt;=1000000000]&quot;$&quot;#,##0.00,,,&quot;B&quot;;[&gt;=1000000]&quot;$&quot;#,##0.00,,&quot;M&quot;;&quot;$&quot;#,##0"/>
  </numFmts>
  <fonts count="5" x14ac:knownFonts="1">
    <font>
      <sz val="11"/>
      <color theme="1"/>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9"/>
        <bgColor indexed="64"/>
      </patternFill>
    </fill>
    <fill>
      <patternFill patternType="solid">
        <fgColor rgb="FFFF0000"/>
        <bgColor indexed="64"/>
      </patternFill>
    </fill>
    <fill>
      <patternFill patternType="solid">
        <fgColor theme="3"/>
        <bgColor indexed="64"/>
      </patternFill>
    </fill>
    <fill>
      <patternFill patternType="solid">
        <fgColor theme="0"/>
        <bgColor indexed="64"/>
      </patternFill>
    </fill>
  </fills>
  <borders count="2">
    <border>
      <left/>
      <right/>
      <top/>
      <bottom/>
      <diagonal/>
    </border>
    <border>
      <left/>
      <right/>
      <top style="thin">
        <color theme="4" tint="0.39997558519241921"/>
      </top>
      <bottom/>
      <diagonal/>
    </border>
  </borders>
  <cellStyleXfs count="2">
    <xf numFmtId="0" fontId="0" fillId="0" borderId="0"/>
    <xf numFmtId="9" fontId="2" fillId="0" borderId="0" applyFont="0" applyFill="0" applyBorder="0" applyAlignment="0" applyProtection="0"/>
  </cellStyleXfs>
  <cellXfs count="22">
    <xf numFmtId="0" fontId="0" fillId="0" borderId="0" xfId="0"/>
    <xf numFmtId="0" fontId="0" fillId="3" borderId="1" xfId="0" applyFill="1" applyBorder="1"/>
    <xf numFmtId="0" fontId="0" fillId="0" borderId="1" xfId="0" applyBorder="1"/>
    <xf numFmtId="14" fontId="0" fillId="0" borderId="0" xfId="0" applyNumberFormat="1"/>
    <xf numFmtId="14" fontId="0" fillId="3" borderId="1" xfId="0" applyNumberFormat="1" applyFill="1" applyBorder="1"/>
    <xf numFmtId="14" fontId="0" fillId="0" borderId="1" xfId="0" applyNumberFormat="1" applyBorder="1"/>
    <xf numFmtId="0" fontId="1" fillId="2" borderId="0" xfId="0" applyFont="1" applyFill="1" applyBorder="1"/>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applyAlignment="1">
      <alignment horizontal="left"/>
    </xf>
    <xf numFmtId="165" fontId="0" fillId="0" borderId="0" xfId="0" applyNumberFormat="1"/>
    <xf numFmtId="165" fontId="0" fillId="0" borderId="0" xfId="0" pivotButton="1" applyNumberFormat="1"/>
    <xf numFmtId="10" fontId="0" fillId="0" borderId="0" xfId="0" applyNumberFormat="1"/>
    <xf numFmtId="0" fontId="0" fillId="0" borderId="0" xfId="0" applyNumberFormat="1"/>
    <xf numFmtId="9" fontId="0" fillId="0" borderId="0" xfId="1" applyFont="1"/>
    <xf numFmtId="0" fontId="0" fillId="4" borderId="0" xfId="0" applyFill="1"/>
    <xf numFmtId="0" fontId="0" fillId="5" borderId="0" xfId="0" applyFill="1"/>
    <xf numFmtId="0" fontId="3" fillId="0" borderId="0" xfId="0" applyFont="1"/>
    <xf numFmtId="0" fontId="0" fillId="6" borderId="0" xfId="0" applyFill="1"/>
    <xf numFmtId="0" fontId="4" fillId="7" borderId="0" xfId="0" applyFont="1" applyFill="1"/>
    <xf numFmtId="0" fontId="4" fillId="0" borderId="0" xfId="0" applyFont="1"/>
  </cellXfs>
  <cellStyles count="2">
    <cellStyle name="Normal" xfId="0" builtinId="0"/>
    <cellStyle name="Percent" xfId="1" builtinId="5"/>
  </cellStyles>
  <dxfs count="129">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numFmt numFmtId="19" formatCode="m/d/yyyy"/>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numFmt numFmtId="19" formatCode="m/d/yyyy"/>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
      <numFmt numFmtId="165" formatCode="[&gt;=1000000000]&quot;$&quot;#,##0.00,,,&quot;B&quot;;[&gt;=1000000]&quot;$&quot;#,##0.00,,&quot;M&quot;;&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2.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pivotCacheDefinition" Target="pivotCache/pivotCacheDefinition1.xml"/><Relationship Id="rId12" Type="http://schemas.microsoft.com/office/2007/relationships/slicerCache" Target="slicerCaches/slicerCache1.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4.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55822452573175"/>
          <c:y val="0.20035666102484856"/>
          <c:w val="0.60989771340310861"/>
          <c:h val="0.65577497503077598"/>
        </c:manualLayout>
      </c:layout>
      <c:doughnutChart>
        <c:varyColors val="1"/>
        <c:ser>
          <c:idx val="0"/>
          <c:order val="0"/>
          <c:spPr>
            <a:solidFill>
              <a:schemeClr val="accent6"/>
            </a:solidFill>
          </c:spPr>
          <c:dPt>
            <c:idx val="0"/>
            <c:bubble3D val="0"/>
            <c:spPr>
              <a:solidFill>
                <a:schemeClr val="accent6"/>
              </a:solidFill>
              <a:ln w="19050">
                <a:solidFill>
                  <a:schemeClr val="lt1"/>
                </a:solidFill>
              </a:ln>
              <a:effectLst/>
            </c:spPr>
            <c:extLst>
              <c:ext xmlns:c16="http://schemas.microsoft.com/office/drawing/2014/chart" uri="{C3380CC4-5D6E-409C-BE32-E72D297353CC}">
                <c16:uniqueId val="{00000001-0AEC-4262-93FD-16F1D8233A60}"/>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0AEC-4262-93FD-16F1D8233A60}"/>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0AEC-4262-93FD-16F1D8233A60}"/>
              </c:ext>
            </c:extLst>
          </c:dPt>
          <c:dPt>
            <c:idx val="3"/>
            <c:bubble3D val="0"/>
            <c:spPr>
              <a:solidFill>
                <a:schemeClr val="accent6"/>
              </a:solidFill>
              <a:ln w="19050">
                <a:solidFill>
                  <a:schemeClr val="lt1"/>
                </a:solidFill>
              </a:ln>
              <a:effectLst/>
            </c:spPr>
            <c:extLst>
              <c:ext xmlns:c16="http://schemas.microsoft.com/office/drawing/2014/chart" uri="{C3380CC4-5D6E-409C-BE32-E72D297353CC}">
                <c16:uniqueId val="{00000007-0AEC-4262-93FD-16F1D8233A60}"/>
              </c:ext>
            </c:extLst>
          </c:dPt>
          <c:dPt>
            <c:idx val="4"/>
            <c:bubble3D val="0"/>
            <c:spPr>
              <a:solidFill>
                <a:schemeClr val="accent6"/>
              </a:solidFill>
              <a:ln w="19050">
                <a:solidFill>
                  <a:schemeClr val="lt1"/>
                </a:solidFill>
              </a:ln>
              <a:effectLst/>
            </c:spPr>
            <c:extLst>
              <c:ext xmlns:c16="http://schemas.microsoft.com/office/drawing/2014/chart" uri="{C3380CC4-5D6E-409C-BE32-E72D297353CC}">
                <c16:uniqueId val="{00000009-0AEC-4262-93FD-16F1D8233A6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AEC-4262-93FD-16F1D8233A60}"/>
              </c:ext>
            </c:extLst>
          </c:dPt>
          <c:dPt>
            <c:idx val="6"/>
            <c:bubble3D val="0"/>
            <c:spPr>
              <a:solidFill>
                <a:schemeClr val="accent6"/>
              </a:solidFill>
              <a:ln w="19050">
                <a:solidFill>
                  <a:schemeClr val="lt1"/>
                </a:solidFill>
              </a:ln>
              <a:effectLst/>
            </c:spPr>
            <c:extLst>
              <c:ext xmlns:c16="http://schemas.microsoft.com/office/drawing/2014/chart" uri="{C3380CC4-5D6E-409C-BE32-E72D297353CC}">
                <c16:uniqueId val="{0000000D-0AEC-4262-93FD-16F1D8233A60}"/>
              </c:ext>
            </c:extLst>
          </c:dPt>
          <c:dPt>
            <c:idx val="7"/>
            <c:bubble3D val="0"/>
            <c:spPr>
              <a:solidFill>
                <a:schemeClr val="accent6"/>
              </a:solidFill>
              <a:ln w="19050">
                <a:solidFill>
                  <a:schemeClr val="lt1"/>
                </a:solidFill>
              </a:ln>
              <a:effectLst/>
            </c:spPr>
            <c:extLst>
              <c:ext xmlns:c16="http://schemas.microsoft.com/office/drawing/2014/chart" uri="{C3380CC4-5D6E-409C-BE32-E72D297353CC}">
                <c16:uniqueId val="{0000000F-0AEC-4262-93FD-16F1D8233A60}"/>
              </c:ext>
            </c:extLst>
          </c:dPt>
          <c:dPt>
            <c:idx val="8"/>
            <c:bubble3D val="0"/>
            <c:spPr>
              <a:solidFill>
                <a:schemeClr val="accent6"/>
              </a:solidFill>
              <a:ln w="19050">
                <a:solidFill>
                  <a:schemeClr val="lt1"/>
                </a:solidFill>
              </a:ln>
              <a:effectLst/>
            </c:spPr>
            <c:extLst>
              <c:ext xmlns:c16="http://schemas.microsoft.com/office/drawing/2014/chart" uri="{C3380CC4-5D6E-409C-BE32-E72D297353CC}">
                <c16:uniqueId val="{00000011-0AEC-4262-93FD-16F1D8233A60}"/>
              </c:ext>
            </c:extLst>
          </c:dPt>
          <c:dPt>
            <c:idx val="9"/>
            <c:bubble3D val="0"/>
            <c:spPr>
              <a:solidFill>
                <a:schemeClr val="accent6"/>
              </a:solidFill>
              <a:ln w="19050">
                <a:solidFill>
                  <a:schemeClr val="lt1"/>
                </a:solidFill>
              </a:ln>
              <a:effectLst/>
            </c:spPr>
            <c:extLst>
              <c:ext xmlns:c16="http://schemas.microsoft.com/office/drawing/2014/chart" uri="{C3380CC4-5D6E-409C-BE32-E72D297353CC}">
                <c16:uniqueId val="{00000013-0AEC-4262-93FD-16F1D8233A60}"/>
              </c:ext>
            </c:extLst>
          </c:dPt>
          <c:val>
            <c:numLit>
              <c:formatCode>General</c:formatCode>
              <c:ptCount val="10"/>
              <c:pt idx="0">
                <c:v>1</c:v>
              </c:pt>
              <c:pt idx="1">
                <c:v>1</c:v>
              </c:pt>
              <c:pt idx="2">
                <c:v>1</c:v>
              </c:pt>
              <c:pt idx="3">
                <c:v>1</c:v>
              </c:pt>
              <c:pt idx="4">
                <c:v>1</c:v>
              </c:pt>
              <c:pt idx="5">
                <c:v>1</c:v>
              </c:pt>
              <c:pt idx="6">
                <c:v>1</c:v>
              </c:pt>
              <c:pt idx="7">
                <c:v>1</c:v>
              </c:pt>
              <c:pt idx="8">
                <c:v>1</c:v>
              </c:pt>
              <c:pt idx="9">
                <c:v>1</c:v>
              </c:pt>
            </c:numLit>
          </c:val>
          <c:extLst>
            <c:ext xmlns:c16="http://schemas.microsoft.com/office/drawing/2014/chart" uri="{C3380CC4-5D6E-409C-BE32-E72D297353CC}">
              <c16:uniqueId val="{00000000-CCC5-4B9F-9FB5-45CE46EA3D94}"/>
            </c:ext>
          </c:extLst>
        </c:ser>
        <c:dLbls>
          <c:showLegendKey val="0"/>
          <c:showVal val="0"/>
          <c:showCatName val="0"/>
          <c:showSerName val="0"/>
          <c:showPercent val="0"/>
          <c:showBubbleSize val="0"/>
          <c:showLeaderLines val="1"/>
        </c:dLbls>
        <c:firstSliceAng val="0"/>
        <c:holeSize val="55"/>
      </c:doughnutChart>
      <c:doughnutChart>
        <c:varyColors val="1"/>
        <c:ser>
          <c:idx val="1"/>
          <c:order val="1"/>
          <c:tx>
            <c:strRef>
              <c:f>'Report Sheet'!$A$7</c:f>
              <c:strCache>
                <c:ptCount val="1"/>
                <c:pt idx="0">
                  <c:v>YOY</c:v>
                </c:pt>
              </c:strCache>
            </c:strRef>
          </c:tx>
          <c:dPt>
            <c:idx val="0"/>
            <c:bubble3D val="0"/>
            <c:spPr>
              <a:noFill/>
              <a:ln w="19050">
                <a:solidFill>
                  <a:schemeClr val="lt1"/>
                </a:solidFill>
              </a:ln>
              <a:effectLst/>
            </c:spPr>
            <c:extLst>
              <c:ext xmlns:c16="http://schemas.microsoft.com/office/drawing/2014/chart" uri="{C3380CC4-5D6E-409C-BE32-E72D297353CC}">
                <c16:uniqueId val="{00000006-CCC5-4B9F-9FB5-45CE46EA3D94}"/>
              </c:ext>
            </c:extLst>
          </c:dPt>
          <c:dPt>
            <c:idx val="1"/>
            <c:bubble3D val="0"/>
            <c:spPr>
              <a:solidFill>
                <a:schemeClr val="bg1">
                  <a:alpha val="51000"/>
                </a:schemeClr>
              </a:solidFill>
              <a:ln w="19050">
                <a:solidFill>
                  <a:schemeClr val="lt1"/>
                </a:solidFill>
              </a:ln>
              <a:effectLst/>
            </c:spPr>
            <c:extLst>
              <c:ext xmlns:c16="http://schemas.microsoft.com/office/drawing/2014/chart" uri="{C3380CC4-5D6E-409C-BE32-E72D297353CC}">
                <c16:uniqueId val="{00000008-CCC5-4B9F-9FB5-45CE46EA3D94}"/>
              </c:ext>
            </c:extLst>
          </c:dPt>
          <c:val>
            <c:numRef>
              <c:f>'Report Sheet'!$B$7:$C$7</c:f>
              <c:numCache>
                <c:formatCode>0.00%</c:formatCode>
                <c:ptCount val="2"/>
                <c:pt idx="0" formatCode="0.00%;\-0.00%;0.00%">
                  <c:v>3.4005974796666637E-2</c:v>
                </c:pt>
                <c:pt idx="1">
                  <c:v>0.96599402520333333</c:v>
                </c:pt>
              </c:numCache>
            </c:numRef>
          </c:val>
          <c:extLst>
            <c:ext xmlns:c16="http://schemas.microsoft.com/office/drawing/2014/chart" uri="{C3380CC4-5D6E-409C-BE32-E72D297353CC}">
              <c16:uniqueId val="{00000005-CCC5-4B9F-9FB5-45CE46EA3D94}"/>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 Government Debt Analysis Redo.xlsm]Report Sheet!_ByMonth</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 Sheet'!$B$9</c:f>
              <c:strCache>
                <c:ptCount val="1"/>
                <c:pt idx="0">
                  <c:v>Current Year Debt</c:v>
                </c:pt>
              </c:strCache>
            </c:strRef>
          </c:tx>
          <c:spPr>
            <a:solidFill>
              <a:schemeClr val="accent6">
                <a:lumMod val="75000"/>
              </a:schemeClr>
            </a:solidFill>
            <a:ln>
              <a:noFill/>
            </a:ln>
            <a:effectLst/>
          </c:spPr>
          <c:invertIfNegative val="0"/>
          <c:cat>
            <c:strRef>
              <c:f>'Report Sheet'!$A$10:$A$20</c:f>
              <c:strCache>
                <c:ptCount val="10"/>
                <c:pt idx="0">
                  <c:v>January</c:v>
                </c:pt>
                <c:pt idx="1">
                  <c:v>February</c:v>
                </c:pt>
                <c:pt idx="2">
                  <c:v>March</c:v>
                </c:pt>
                <c:pt idx="3">
                  <c:v>April</c:v>
                </c:pt>
                <c:pt idx="4">
                  <c:v>May</c:v>
                </c:pt>
                <c:pt idx="5">
                  <c:v>June</c:v>
                </c:pt>
                <c:pt idx="6">
                  <c:v>July</c:v>
                </c:pt>
                <c:pt idx="7">
                  <c:v>August</c:v>
                </c:pt>
                <c:pt idx="8">
                  <c:v>September</c:v>
                </c:pt>
                <c:pt idx="9">
                  <c:v>October</c:v>
                </c:pt>
              </c:strCache>
            </c:strRef>
          </c:cat>
          <c:val>
            <c:numRef>
              <c:f>'Report Sheet'!$B$10:$B$20</c:f>
              <c:numCache>
                <c:formatCode>[&gt;=1000000000]"$"#,##0.00,,,"B";[&gt;=1000000]"$"#,##0.00,,"M";"$"#,##0</c:formatCode>
                <c:ptCount val="10"/>
                <c:pt idx="0">
                  <c:v>199039123.44999999</c:v>
                </c:pt>
                <c:pt idx="1">
                  <c:v>1595362787.4400001</c:v>
                </c:pt>
                <c:pt idx="2">
                  <c:v>625977222.48000002</c:v>
                </c:pt>
                <c:pt idx="3">
                  <c:v>351034188.19999999</c:v>
                </c:pt>
                <c:pt idx="4">
                  <c:v>323977791.42000002</c:v>
                </c:pt>
                <c:pt idx="5">
                  <c:v>216260218.88</c:v>
                </c:pt>
                <c:pt idx="6">
                  <c:v>21321818185.25</c:v>
                </c:pt>
                <c:pt idx="7">
                  <c:v>197668205.28</c:v>
                </c:pt>
                <c:pt idx="8">
                  <c:v>240193876.77000001</c:v>
                </c:pt>
                <c:pt idx="9">
                  <c:v>203033200.81</c:v>
                </c:pt>
              </c:numCache>
            </c:numRef>
          </c:val>
          <c:extLst>
            <c:ext xmlns:c16="http://schemas.microsoft.com/office/drawing/2014/chart" uri="{C3380CC4-5D6E-409C-BE32-E72D297353CC}">
              <c16:uniqueId val="{00000000-A94C-468B-859E-D261E24BC990}"/>
            </c:ext>
          </c:extLst>
        </c:ser>
        <c:ser>
          <c:idx val="1"/>
          <c:order val="1"/>
          <c:tx>
            <c:strRef>
              <c:f>'Report Sheet'!$C$9</c:f>
              <c:strCache>
                <c:ptCount val="1"/>
                <c:pt idx="0">
                  <c:v>Multilateral Debt</c:v>
                </c:pt>
              </c:strCache>
            </c:strRef>
          </c:tx>
          <c:spPr>
            <a:solidFill>
              <a:schemeClr val="accent4">
                <a:lumMod val="60000"/>
                <a:lumOff val="40000"/>
              </a:schemeClr>
            </a:solidFill>
            <a:ln>
              <a:noFill/>
            </a:ln>
            <a:effectLst/>
          </c:spPr>
          <c:invertIfNegative val="0"/>
          <c:cat>
            <c:strRef>
              <c:f>'Report Sheet'!$A$10:$A$20</c:f>
              <c:strCache>
                <c:ptCount val="10"/>
                <c:pt idx="0">
                  <c:v>January</c:v>
                </c:pt>
                <c:pt idx="1">
                  <c:v>February</c:v>
                </c:pt>
                <c:pt idx="2">
                  <c:v>March</c:v>
                </c:pt>
                <c:pt idx="3">
                  <c:v>April</c:v>
                </c:pt>
                <c:pt idx="4">
                  <c:v>May</c:v>
                </c:pt>
                <c:pt idx="5">
                  <c:v>June</c:v>
                </c:pt>
                <c:pt idx="6">
                  <c:v>July</c:v>
                </c:pt>
                <c:pt idx="7">
                  <c:v>August</c:v>
                </c:pt>
                <c:pt idx="8">
                  <c:v>September</c:v>
                </c:pt>
                <c:pt idx="9">
                  <c:v>October</c:v>
                </c:pt>
              </c:strCache>
            </c:strRef>
          </c:cat>
          <c:val>
            <c:numRef>
              <c:f>'Report Sheet'!$C$10:$C$20</c:f>
              <c:numCache>
                <c:formatCode>[&gt;=1000000000]"$"#,##0.00,,,"B";[&gt;=1000000]"$"#,##0.00,,"M";"$"#,##0</c:formatCode>
                <c:ptCount val="10"/>
                <c:pt idx="0">
                  <c:v>199039123.44999999</c:v>
                </c:pt>
                <c:pt idx="1">
                  <c:v>1451532787.4400001</c:v>
                </c:pt>
                <c:pt idx="2">
                  <c:v>625977222.48000002</c:v>
                </c:pt>
                <c:pt idx="3">
                  <c:v>346034188.19999999</c:v>
                </c:pt>
                <c:pt idx="4">
                  <c:v>317477791.41999996</c:v>
                </c:pt>
                <c:pt idx="5">
                  <c:v>172360218.88</c:v>
                </c:pt>
                <c:pt idx="6">
                  <c:v>7286265574.25</c:v>
                </c:pt>
                <c:pt idx="7">
                  <c:v>185422216.28</c:v>
                </c:pt>
                <c:pt idx="8">
                  <c:v>233693876.77000001</c:v>
                </c:pt>
                <c:pt idx="9">
                  <c:v>196533200.81</c:v>
                </c:pt>
              </c:numCache>
            </c:numRef>
          </c:val>
          <c:extLst>
            <c:ext xmlns:c16="http://schemas.microsoft.com/office/drawing/2014/chart" uri="{C3380CC4-5D6E-409C-BE32-E72D297353CC}">
              <c16:uniqueId val="{00000001-A94C-468B-859E-D261E24BC990}"/>
            </c:ext>
          </c:extLst>
        </c:ser>
        <c:dLbls>
          <c:showLegendKey val="0"/>
          <c:showVal val="0"/>
          <c:showCatName val="0"/>
          <c:showSerName val="0"/>
          <c:showPercent val="0"/>
          <c:showBubbleSize val="0"/>
        </c:dLbls>
        <c:gapWidth val="219"/>
        <c:overlap val="-27"/>
        <c:axId val="561344544"/>
        <c:axId val="561339296"/>
      </c:barChart>
      <c:catAx>
        <c:axId val="56134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61339296"/>
        <c:crosses val="autoZero"/>
        <c:auto val="1"/>
        <c:lblAlgn val="ctr"/>
        <c:lblOffset val="100"/>
        <c:noMultiLvlLbl val="0"/>
      </c:catAx>
      <c:valAx>
        <c:axId val="561339296"/>
        <c:scaling>
          <c:orientation val="minMax"/>
        </c:scaling>
        <c:delete val="0"/>
        <c:axPos val="l"/>
        <c:majorGridlines>
          <c:spPr>
            <a:ln w="9525" cap="flat" cmpd="sng" algn="ctr">
              <a:solidFill>
                <a:schemeClr val="tx1">
                  <a:lumMod val="15000"/>
                  <a:lumOff val="85000"/>
                </a:schemeClr>
              </a:solidFill>
              <a:round/>
            </a:ln>
            <a:effectLst/>
          </c:spPr>
        </c:majorGridlines>
        <c:numFmt formatCode="[&gt;=1000000000]&quot;$&quot;#,##0.00,,,&quot;B&quot;;[&gt;=1000000]&quot;$&quot;#,##0.00,,&quot;M&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6134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 Report'!$W$3</c:f>
          <c:strCache>
            <c:ptCount val="1"/>
            <c:pt idx="0">
              <c:v>Yearly Debt Comparison By States</c:v>
            </c:pt>
          </c:strCache>
        </c:strRef>
      </c:tx>
      <c:overlay val="0"/>
      <c:spPr>
        <a:solidFill>
          <a:schemeClr val="accent6">
            <a:lumMod val="75000"/>
          </a:schemeClr>
        </a:solid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extLst>
                <c:ext xmlns:c15="http://schemas.microsoft.com/office/drawing/2012/chart" uri="{02D57815-91ED-43cb-92C2-25804820EDAC}">
                  <c15:fullRef>
                    <c15:sqref>'Report Sheet'!$F$3:$F$40</c15:sqref>
                  </c15:fullRef>
                </c:ext>
              </c:extLst>
              <c:f>('Report Sheet'!$F$3:$F$17,'Report Sheet'!$F$19:$F$40)</c:f>
              <c:strCache>
                <c:ptCount val="2"/>
                <c:pt idx="0">
                  <c:v>Adamawa</c:v>
                </c:pt>
                <c:pt idx="1">
                  <c:v>Grand Total</c:v>
                </c:pt>
              </c:strCache>
            </c:strRef>
          </c:cat>
          <c:val>
            <c:numRef>
              <c:extLst>
                <c:ext xmlns:c15="http://schemas.microsoft.com/office/drawing/2012/chart" uri="{02D57815-91ED-43cb-92C2-25804820EDAC}">
                  <c15:fullRef>
                    <c15:sqref>'Report Sheet'!$F$3:$F$40</c15:sqref>
                  </c15:fullRef>
                </c:ext>
              </c:extLst>
              <c:f>('Report Sheet'!$F$3:$F$17,'Report Sheet'!$F$19:$F$40)</c:f>
              <c:numCache>
                <c:formatCode>[&gt;=1000000000]"$"#,##0.00,,,"B";[&gt;=1000000]"$"#,##0.00,,"M";"$"#,##0</c:formatCode>
                <c:ptCount val="37"/>
                <c:pt idx="0">
                  <c:v>0</c:v>
                </c:pt>
                <c:pt idx="1">
                  <c:v>0</c:v>
                </c:pt>
              </c:numCache>
            </c:numRef>
          </c:val>
          <c:extLst>
            <c:ext xmlns:c16="http://schemas.microsoft.com/office/drawing/2014/chart" uri="{C3380CC4-5D6E-409C-BE32-E72D297353CC}">
              <c16:uniqueId val="{00000000-12A4-45DE-8DFF-E24476086A2B}"/>
            </c:ext>
          </c:extLst>
        </c:ser>
        <c:ser>
          <c:idx val="1"/>
          <c:order val="1"/>
          <c:tx>
            <c:strRef>
              <c:f>'Report Sheet'!$G$3</c:f>
              <c:strCache>
                <c:ptCount val="1"/>
                <c:pt idx="0">
                  <c:v>$97.79M</c:v>
                </c:pt>
              </c:strCache>
            </c:strRef>
          </c:tx>
          <c:spPr>
            <a:solidFill>
              <a:schemeClr val="accent6"/>
            </a:solidFill>
            <a:ln>
              <a:noFill/>
            </a:ln>
            <a:effectLst/>
          </c:spPr>
          <c:invertIfNegative val="0"/>
          <c:cat>
            <c:strRef>
              <c:extLst>
                <c:ext xmlns:c15="http://schemas.microsoft.com/office/drawing/2012/chart" uri="{02D57815-91ED-43cb-92C2-25804820EDAC}">
                  <c15:fullRef>
                    <c15:sqref>'Report Sheet'!$F$3:$F$40</c15:sqref>
                  </c15:fullRef>
                </c:ext>
              </c:extLst>
              <c:f>('Report Sheet'!$F$3:$F$17,'Report Sheet'!$F$19:$F$40)</c:f>
              <c:strCache>
                <c:ptCount val="2"/>
                <c:pt idx="0">
                  <c:v>Adamawa</c:v>
                </c:pt>
                <c:pt idx="1">
                  <c:v>Grand Total</c:v>
                </c:pt>
              </c:strCache>
            </c:strRef>
          </c:cat>
          <c:val>
            <c:numRef>
              <c:extLst>
                <c:ext xmlns:c15="http://schemas.microsoft.com/office/drawing/2012/chart" uri="{02D57815-91ED-43cb-92C2-25804820EDAC}">
                  <c15:fullRef>
                    <c15:sqref>'Report Sheet'!$G$3:$G$40</c15:sqref>
                  </c15:fullRef>
                </c:ext>
              </c:extLst>
              <c:f>('Report Sheet'!$G$3:$G$17,'Report Sheet'!$G$19:$G$40)</c:f>
              <c:numCache>
                <c:formatCode>[&gt;=1000000000]"$"#,##0.00,,,"B";[&gt;=1000000]"$"#,##0.00,,"M";"$"#,##0</c:formatCode>
                <c:ptCount val="37"/>
                <c:pt idx="0">
                  <c:v>97790423.730000004</c:v>
                </c:pt>
                <c:pt idx="1">
                  <c:v>97790423.730000004</c:v>
                </c:pt>
              </c:numCache>
            </c:numRef>
          </c:val>
          <c:extLst>
            <c:ext xmlns:c16="http://schemas.microsoft.com/office/drawing/2014/chart" uri="{C3380CC4-5D6E-409C-BE32-E72D297353CC}">
              <c16:uniqueId val="{00000001-12A4-45DE-8DFF-E24476086A2B}"/>
            </c:ext>
          </c:extLst>
        </c:ser>
        <c:dLbls>
          <c:showLegendKey val="0"/>
          <c:showVal val="0"/>
          <c:showCatName val="0"/>
          <c:showSerName val="0"/>
          <c:showPercent val="0"/>
          <c:showBubbleSize val="0"/>
        </c:dLbls>
        <c:gapWidth val="219"/>
        <c:overlap val="-27"/>
        <c:axId val="565288728"/>
        <c:axId val="561347824"/>
      </c:barChart>
      <c:catAx>
        <c:axId val="565288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61347824"/>
        <c:crosses val="autoZero"/>
        <c:auto val="1"/>
        <c:lblAlgn val="ctr"/>
        <c:lblOffset val="100"/>
        <c:noMultiLvlLbl val="0"/>
      </c:catAx>
      <c:valAx>
        <c:axId val="561347824"/>
        <c:scaling>
          <c:orientation val="minMax"/>
        </c:scaling>
        <c:delete val="0"/>
        <c:axPos val="l"/>
        <c:numFmt formatCode="[&gt;=1000000000]&quot;$&quot;#,##0.00,,,&quot;B&quot;;[&gt;=1000000]&quot;$&quot;#,##0.00,,&quot;M&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65288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size">
        <cx:f dir="row">_xlchart.v1.1</cx:f>
      </cx:numDim>
    </cx:data>
  </cx:chartData>
  <cx:chart>
    <cx:plotArea>
      <cx:plotAreaRegion>
        <cx:plotSurface>
          <cx:spPr>
            <a:noFill/>
            <a:ln>
              <a:noFill/>
            </a:ln>
            <a:effectLst>
              <a:innerShdw blurRad="63500" dist="50800" dir="2700000">
                <a:schemeClr val="accent4">
                  <a:lumMod val="60000"/>
                  <a:lumOff val="40000"/>
                  <a:alpha val="50000"/>
                </a:schemeClr>
              </a:innerShdw>
            </a:effectLst>
          </cx:spPr>
        </cx:plotSurface>
        <cx:series layoutId="sunburst" uniqueId="{00000001-9723-43C1-B958-94E3E28AC0EA}" formatIdx="1">
          <cx:tx>
            <cx:txData>
              <cx:f>_xlchart.v1.0</cx:f>
              <cx:v>Multilateral Debt Variance</cx:v>
            </cx:txData>
          </cx:tx>
          <cx:spPr>
            <a:solidFill>
              <a:schemeClr val="accent6"/>
            </a:solidFill>
          </cx:spPr>
          <cx:dataPt idx="0">
            <cx:spPr>
              <a:solidFill>
                <a:srgbClr val="E7E6E6"/>
              </a:solidFill>
            </cx:spPr>
          </cx:dataPt>
          <cx:dataId val="0"/>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image" Target="../media/image1.jp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47625</xdr:colOff>
      <xdr:row>17</xdr:row>
      <xdr:rowOff>85725</xdr:rowOff>
    </xdr:from>
    <xdr:to>
      <xdr:col>20</xdr:col>
      <xdr:colOff>180975</xdr:colOff>
      <xdr:row>22</xdr:row>
      <xdr:rowOff>142875</xdr:rowOff>
    </xdr:to>
    <xdr:sp macro="[0]!Module1.GotoReportsheet" textlink="">
      <xdr:nvSpPr>
        <xdr:cNvPr id="2" name="Arrow: Right 1">
          <a:extLst>
            <a:ext uri="{FF2B5EF4-FFF2-40B4-BE49-F238E27FC236}">
              <a16:creationId xmlns:a16="http://schemas.microsoft.com/office/drawing/2014/main" id="{9A928D78-20BF-4B81-B08F-119DF2AA5DF3}"/>
            </a:ext>
          </a:extLst>
        </xdr:cNvPr>
        <xdr:cNvSpPr/>
      </xdr:nvSpPr>
      <xdr:spPr>
        <a:xfrm>
          <a:off x="10410825" y="3324225"/>
          <a:ext cx="1962150" cy="1009650"/>
        </a:xfrm>
        <a:prstGeom prst="rightArrow">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 Report Sheet</a:t>
          </a:r>
        </a:p>
      </xdr:txBody>
    </xdr:sp>
    <xdr:clientData/>
  </xdr:twoCellAnchor>
  <xdr:twoCellAnchor>
    <xdr:from>
      <xdr:col>16</xdr:col>
      <xdr:colOff>438150</xdr:colOff>
      <xdr:row>1</xdr:row>
      <xdr:rowOff>104775</xdr:rowOff>
    </xdr:from>
    <xdr:to>
      <xdr:col>19</xdr:col>
      <xdr:colOff>571500</xdr:colOff>
      <xdr:row>6</xdr:row>
      <xdr:rowOff>161925</xdr:rowOff>
    </xdr:to>
    <xdr:sp macro="[0]!GotoDashboard" textlink="">
      <xdr:nvSpPr>
        <xdr:cNvPr id="3" name="Arrow: Right 2">
          <a:extLst>
            <a:ext uri="{FF2B5EF4-FFF2-40B4-BE49-F238E27FC236}">
              <a16:creationId xmlns:a16="http://schemas.microsoft.com/office/drawing/2014/main" id="{7241CF18-AC54-44C0-B4B8-914C1D413F28}"/>
            </a:ext>
          </a:extLst>
        </xdr:cNvPr>
        <xdr:cNvSpPr/>
      </xdr:nvSpPr>
      <xdr:spPr>
        <a:xfrm>
          <a:off x="10191750" y="295275"/>
          <a:ext cx="1962150" cy="1009650"/>
        </a:xfrm>
        <a:prstGeom prst="right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 DashBoard</a:t>
          </a:r>
        </a:p>
      </xdr:txBody>
    </xdr:sp>
    <xdr:clientData/>
  </xdr:twoCellAnchor>
  <xdr:twoCellAnchor>
    <xdr:from>
      <xdr:col>0</xdr:col>
      <xdr:colOff>352425</xdr:colOff>
      <xdr:row>18</xdr:row>
      <xdr:rowOff>19050</xdr:rowOff>
    </xdr:from>
    <xdr:to>
      <xdr:col>3</xdr:col>
      <xdr:colOff>485775</xdr:colOff>
      <xdr:row>23</xdr:row>
      <xdr:rowOff>76200</xdr:rowOff>
    </xdr:to>
    <xdr:sp macro="[0]!GotoMultilateralDebtShheet" textlink="">
      <xdr:nvSpPr>
        <xdr:cNvPr id="4" name="Arrow: Right 3">
          <a:extLst>
            <a:ext uri="{FF2B5EF4-FFF2-40B4-BE49-F238E27FC236}">
              <a16:creationId xmlns:a16="http://schemas.microsoft.com/office/drawing/2014/main" id="{6D69C3B2-C58C-4AA5-B1EF-AA834D044ECB}"/>
            </a:ext>
          </a:extLst>
        </xdr:cNvPr>
        <xdr:cNvSpPr/>
      </xdr:nvSpPr>
      <xdr:spPr>
        <a:xfrm>
          <a:off x="352425" y="3448050"/>
          <a:ext cx="1962150" cy="1009650"/>
        </a:xfrm>
        <a:prstGeom prst="rightArrow">
          <a:avLst/>
        </a:prstGeom>
        <a:solidFill>
          <a:schemeClr val="accent3">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 Multilateralsheet</a:t>
          </a:r>
        </a:p>
      </xdr:txBody>
    </xdr:sp>
    <xdr:clientData/>
  </xdr:twoCellAnchor>
  <xdr:twoCellAnchor>
    <xdr:from>
      <xdr:col>0</xdr:col>
      <xdr:colOff>409575</xdr:colOff>
      <xdr:row>0</xdr:row>
      <xdr:rowOff>114300</xdr:rowOff>
    </xdr:from>
    <xdr:to>
      <xdr:col>3</xdr:col>
      <xdr:colOff>542925</xdr:colOff>
      <xdr:row>5</xdr:row>
      <xdr:rowOff>171450</xdr:rowOff>
    </xdr:to>
    <xdr:sp macro="[0]!GotoTotalDebtMaster" textlink="">
      <xdr:nvSpPr>
        <xdr:cNvPr id="5" name="Arrow: Right 4">
          <a:extLst>
            <a:ext uri="{FF2B5EF4-FFF2-40B4-BE49-F238E27FC236}">
              <a16:creationId xmlns:a16="http://schemas.microsoft.com/office/drawing/2014/main" id="{A0763866-7A27-46CB-A169-964A67A4193B}"/>
            </a:ext>
          </a:extLst>
        </xdr:cNvPr>
        <xdr:cNvSpPr/>
      </xdr:nvSpPr>
      <xdr:spPr>
        <a:xfrm>
          <a:off x="409575" y="114300"/>
          <a:ext cx="1962150" cy="1009650"/>
        </a:xfrm>
        <a:prstGeom prst="rightArrow">
          <a:avLst/>
        </a:prstGeom>
        <a:solidFill>
          <a:schemeClr val="accent4">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 Total</a:t>
          </a:r>
          <a:r>
            <a:rPr lang="en-US" sz="1100" b="1" baseline="0"/>
            <a:t> Debt Sheet</a:t>
          </a:r>
          <a:endParaRPr lang="en-US" sz="1100" b="1"/>
        </a:p>
      </xdr:txBody>
    </xdr:sp>
    <xdr:clientData/>
  </xdr:twoCellAnchor>
  <xdr:twoCellAnchor>
    <xdr:from>
      <xdr:col>8</xdr:col>
      <xdr:colOff>171450</xdr:colOff>
      <xdr:row>10</xdr:row>
      <xdr:rowOff>19050</xdr:rowOff>
    </xdr:from>
    <xdr:to>
      <xdr:col>11</xdr:col>
      <xdr:colOff>304800</xdr:colOff>
      <xdr:row>14</xdr:row>
      <xdr:rowOff>161925</xdr:rowOff>
    </xdr:to>
    <xdr:sp macro="[0]!GotoHomepage" textlink="">
      <xdr:nvSpPr>
        <xdr:cNvPr id="6" name="Arrow: Right 5">
          <a:extLst>
            <a:ext uri="{FF2B5EF4-FFF2-40B4-BE49-F238E27FC236}">
              <a16:creationId xmlns:a16="http://schemas.microsoft.com/office/drawing/2014/main" id="{F093D896-04E0-400F-8113-B4468D161327}"/>
            </a:ext>
          </a:extLst>
        </xdr:cNvPr>
        <xdr:cNvSpPr/>
      </xdr:nvSpPr>
      <xdr:spPr>
        <a:xfrm>
          <a:off x="5048250" y="1924050"/>
          <a:ext cx="1962150" cy="904875"/>
        </a:xfrm>
        <a:prstGeom prst="rightArrow">
          <a:avLst/>
        </a:prstGeom>
        <a:solidFill>
          <a:schemeClr val="accent6"/>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a:t>
          </a:r>
          <a:r>
            <a:rPr lang="en-US" sz="1100" b="1" baseline="0"/>
            <a:t> HomePage</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104775</xdr:rowOff>
    </xdr:from>
    <xdr:to>
      <xdr:col>17</xdr:col>
      <xdr:colOff>428625</xdr:colOff>
      <xdr:row>5</xdr:row>
      <xdr:rowOff>57151</xdr:rowOff>
    </xdr:to>
    <xdr:sp macro="" textlink="">
      <xdr:nvSpPr>
        <xdr:cNvPr id="3" name="Rectangle 2">
          <a:extLst>
            <a:ext uri="{FF2B5EF4-FFF2-40B4-BE49-F238E27FC236}">
              <a16:creationId xmlns:a16="http://schemas.microsoft.com/office/drawing/2014/main" id="{667977F8-0603-4A80-85BC-F3FDD8B9114F}"/>
            </a:ext>
          </a:extLst>
        </xdr:cNvPr>
        <xdr:cNvSpPr/>
      </xdr:nvSpPr>
      <xdr:spPr>
        <a:xfrm>
          <a:off x="38100" y="104775"/>
          <a:ext cx="10753725" cy="904876"/>
        </a:xfrm>
        <a:prstGeom prst="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 </a:t>
          </a:r>
          <a:r>
            <a:rPr lang="en-US" sz="2800" baseline="0">
              <a:latin typeface="Constantia" panose="02030602050306030303" pitchFamily="18" charset="0"/>
              <a:cs typeface="Aharoni" panose="020B0604020202020204" pitchFamily="2" charset="-79"/>
            </a:rPr>
            <a:t>DASHBOARD REPORT ON GOVERNMENT DEBT</a:t>
          </a:r>
          <a:endParaRPr lang="en-US" sz="1100">
            <a:latin typeface="Constantia" panose="02030602050306030303" pitchFamily="18" charset="0"/>
            <a:cs typeface="Aharoni" panose="020B0604020202020204" pitchFamily="2" charset="-79"/>
          </a:endParaRPr>
        </a:p>
      </xdr:txBody>
    </xdr:sp>
    <xdr:clientData/>
  </xdr:twoCellAnchor>
  <xdr:twoCellAnchor>
    <xdr:from>
      <xdr:col>2</xdr:col>
      <xdr:colOff>123824</xdr:colOff>
      <xdr:row>7</xdr:row>
      <xdr:rowOff>4762</xdr:rowOff>
    </xdr:from>
    <xdr:to>
      <xdr:col>4</xdr:col>
      <xdr:colOff>457199</xdr:colOff>
      <xdr:row>11</xdr:row>
      <xdr:rowOff>157162</xdr:rowOff>
    </xdr:to>
    <xdr:sp macro="" textlink="">
      <xdr:nvSpPr>
        <xdr:cNvPr id="4" name="Rectangle: Rounded Corners 3">
          <a:extLst>
            <a:ext uri="{FF2B5EF4-FFF2-40B4-BE49-F238E27FC236}">
              <a16:creationId xmlns:a16="http://schemas.microsoft.com/office/drawing/2014/main" id="{0EDEF144-954F-4C4D-B4D0-9C35D26CC254}"/>
            </a:ext>
          </a:extLst>
        </xdr:cNvPr>
        <xdr:cNvSpPr/>
      </xdr:nvSpPr>
      <xdr:spPr>
        <a:xfrm>
          <a:off x="1343024" y="1338262"/>
          <a:ext cx="1552575" cy="914400"/>
        </a:xfrm>
        <a:prstGeom prst="roundRect">
          <a:avLst/>
        </a:prstGeom>
        <a:solidFill>
          <a:schemeClr val="accent6">
            <a:lumMod val="40000"/>
            <a:lumOff val="60000"/>
          </a:schemeClr>
        </a:solidFill>
        <a:ln w="57150"/>
        <a:effectLst/>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400049</xdr:colOff>
      <xdr:row>7</xdr:row>
      <xdr:rowOff>23812</xdr:rowOff>
    </xdr:from>
    <xdr:to>
      <xdr:col>11</xdr:col>
      <xdr:colOff>123824</xdr:colOff>
      <xdr:row>11</xdr:row>
      <xdr:rowOff>176212</xdr:rowOff>
    </xdr:to>
    <xdr:sp macro="" textlink="">
      <xdr:nvSpPr>
        <xdr:cNvPr id="5" name="Rectangle: Rounded Corners 4">
          <a:extLst>
            <a:ext uri="{FF2B5EF4-FFF2-40B4-BE49-F238E27FC236}">
              <a16:creationId xmlns:a16="http://schemas.microsoft.com/office/drawing/2014/main" id="{24BDAEB5-2317-4E4D-9B79-3CEBECD317E1}"/>
            </a:ext>
          </a:extLst>
        </xdr:cNvPr>
        <xdr:cNvSpPr/>
      </xdr:nvSpPr>
      <xdr:spPr>
        <a:xfrm>
          <a:off x="5276849" y="1357312"/>
          <a:ext cx="1552575" cy="914400"/>
        </a:xfrm>
        <a:prstGeom prst="roundRect">
          <a:avLst/>
        </a:prstGeom>
        <a:solidFill>
          <a:schemeClr val="accent6">
            <a:lumMod val="40000"/>
            <a:lumOff val="60000"/>
          </a:schemeClr>
        </a:solidFill>
        <a:ln w="57150"/>
        <a:effectLst/>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114299</xdr:colOff>
      <xdr:row>6</xdr:row>
      <xdr:rowOff>100012</xdr:rowOff>
    </xdr:from>
    <xdr:to>
      <xdr:col>17</xdr:col>
      <xdr:colOff>447674</xdr:colOff>
      <xdr:row>11</xdr:row>
      <xdr:rowOff>61912</xdr:rowOff>
    </xdr:to>
    <xdr:sp macro="" textlink="">
      <xdr:nvSpPr>
        <xdr:cNvPr id="6" name="Rectangle: Rounded Corners 5">
          <a:extLst>
            <a:ext uri="{FF2B5EF4-FFF2-40B4-BE49-F238E27FC236}">
              <a16:creationId xmlns:a16="http://schemas.microsoft.com/office/drawing/2014/main" id="{F23903EB-AD8F-4112-97A6-A4D64905DC67}"/>
            </a:ext>
          </a:extLst>
        </xdr:cNvPr>
        <xdr:cNvSpPr/>
      </xdr:nvSpPr>
      <xdr:spPr>
        <a:xfrm>
          <a:off x="9258299" y="1243012"/>
          <a:ext cx="1552575" cy="914400"/>
        </a:xfrm>
        <a:prstGeom prst="roundRect">
          <a:avLst/>
        </a:prstGeom>
        <a:solidFill>
          <a:schemeClr val="accent6">
            <a:lumMod val="40000"/>
            <a:lumOff val="60000"/>
          </a:schemeClr>
        </a:solidFill>
        <a:ln w="57150"/>
        <a:effectLst/>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228600</xdr:colOff>
      <xdr:row>9</xdr:row>
      <xdr:rowOff>38100</xdr:rowOff>
    </xdr:from>
    <xdr:to>
      <xdr:col>8</xdr:col>
      <xdr:colOff>104775</xdr:colOff>
      <xdr:row>20</xdr:row>
      <xdr:rowOff>95250</xdr:rowOff>
    </xdr:to>
    <xdr:graphicFrame macro="">
      <xdr:nvGraphicFramePr>
        <xdr:cNvPr id="2" name="Chart 1">
          <a:extLst>
            <a:ext uri="{FF2B5EF4-FFF2-40B4-BE49-F238E27FC236}">
              <a16:creationId xmlns:a16="http://schemas.microsoft.com/office/drawing/2014/main" id="{305A3E41-BF36-4797-8177-EC66C5AC93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152400</xdr:colOff>
      <xdr:row>8</xdr:row>
      <xdr:rowOff>123825</xdr:rowOff>
    </xdr:from>
    <xdr:to>
      <xdr:col>4</xdr:col>
      <xdr:colOff>428625</xdr:colOff>
      <xdr:row>9</xdr:row>
      <xdr:rowOff>161925</xdr:rowOff>
    </xdr:to>
    <xdr:sp macro="" textlink="">
      <xdr:nvSpPr>
        <xdr:cNvPr id="15" name="Rectangle 14">
          <a:extLst>
            <a:ext uri="{FF2B5EF4-FFF2-40B4-BE49-F238E27FC236}">
              <a16:creationId xmlns:a16="http://schemas.microsoft.com/office/drawing/2014/main" id="{7640307A-F284-41ED-9945-EE1AFDA90CFE}"/>
            </a:ext>
          </a:extLst>
        </xdr:cNvPr>
        <xdr:cNvSpPr/>
      </xdr:nvSpPr>
      <xdr:spPr>
        <a:xfrm>
          <a:off x="1371600" y="1647825"/>
          <a:ext cx="1495425" cy="22860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419100</xdr:colOff>
      <xdr:row>8</xdr:row>
      <xdr:rowOff>123825</xdr:rowOff>
    </xdr:from>
    <xdr:to>
      <xdr:col>11</xdr:col>
      <xdr:colOff>85725</xdr:colOff>
      <xdr:row>9</xdr:row>
      <xdr:rowOff>161925</xdr:rowOff>
    </xdr:to>
    <xdr:sp macro="" textlink="">
      <xdr:nvSpPr>
        <xdr:cNvPr id="16" name="Rectangle 15">
          <a:extLst>
            <a:ext uri="{FF2B5EF4-FFF2-40B4-BE49-F238E27FC236}">
              <a16:creationId xmlns:a16="http://schemas.microsoft.com/office/drawing/2014/main" id="{43329911-1B62-46BE-8AB6-4BBE9D99C08B}"/>
            </a:ext>
          </a:extLst>
        </xdr:cNvPr>
        <xdr:cNvSpPr/>
      </xdr:nvSpPr>
      <xdr:spPr>
        <a:xfrm>
          <a:off x="5295900" y="1647825"/>
          <a:ext cx="1495425" cy="22860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142875</xdr:colOff>
      <xdr:row>8</xdr:row>
      <xdr:rowOff>47625</xdr:rowOff>
    </xdr:from>
    <xdr:to>
      <xdr:col>17</xdr:col>
      <xdr:colOff>419100</xdr:colOff>
      <xdr:row>9</xdr:row>
      <xdr:rowOff>85725</xdr:rowOff>
    </xdr:to>
    <xdr:sp macro="" textlink="">
      <xdr:nvSpPr>
        <xdr:cNvPr id="17" name="Rectangle 16">
          <a:extLst>
            <a:ext uri="{FF2B5EF4-FFF2-40B4-BE49-F238E27FC236}">
              <a16:creationId xmlns:a16="http://schemas.microsoft.com/office/drawing/2014/main" id="{938A14E8-32CA-4FF8-9DB6-1E01E4E34BE4}"/>
            </a:ext>
          </a:extLst>
        </xdr:cNvPr>
        <xdr:cNvSpPr/>
      </xdr:nvSpPr>
      <xdr:spPr>
        <a:xfrm>
          <a:off x="9286875" y="1571625"/>
          <a:ext cx="1495425" cy="22860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8</xdr:row>
      <xdr:rowOff>0</xdr:rowOff>
    </xdr:from>
    <xdr:to>
      <xdr:col>1</xdr:col>
      <xdr:colOff>485774</xdr:colOff>
      <xdr:row>17</xdr:row>
      <xdr:rowOff>66674</xdr:rowOff>
    </xdr:to>
    <mc:AlternateContent xmlns:mc="http://schemas.openxmlformats.org/markup-compatibility/2006" xmlns:a14="http://schemas.microsoft.com/office/drawing/2010/main">
      <mc:Choice Requires="a14">
        <xdr:graphicFrame macro="">
          <xdr:nvGraphicFramePr>
            <xdr:cNvPr id="18" name="Year 1">
              <a:extLst>
                <a:ext uri="{FF2B5EF4-FFF2-40B4-BE49-F238E27FC236}">
                  <a16:creationId xmlns:a16="http://schemas.microsoft.com/office/drawing/2014/main" id="{B7149735-8FFB-43E7-A6BD-BED2D12C704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0" y="1524000"/>
              <a:ext cx="1095374" cy="1781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123825</xdr:colOff>
      <xdr:row>10</xdr:row>
      <xdr:rowOff>0</xdr:rowOff>
    </xdr:from>
    <xdr:ext cx="1463414" cy="311496"/>
    <xdr:sp macro="" textlink="">
      <xdr:nvSpPr>
        <xdr:cNvPr id="19" name="TextBox 18">
          <a:extLst>
            <a:ext uri="{FF2B5EF4-FFF2-40B4-BE49-F238E27FC236}">
              <a16:creationId xmlns:a16="http://schemas.microsoft.com/office/drawing/2014/main" id="{439EF8D1-2231-4054-8606-820638CFAEFB}"/>
            </a:ext>
          </a:extLst>
        </xdr:cNvPr>
        <xdr:cNvSpPr txBox="1"/>
      </xdr:nvSpPr>
      <xdr:spPr>
        <a:xfrm>
          <a:off x="1343025" y="1905000"/>
          <a:ext cx="14634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n-US" sz="1400" b="1" baseline="0">
              <a:solidFill>
                <a:schemeClr val="accent6"/>
              </a:solidFill>
              <a:latin typeface="Corbel Light" panose="020B0303020204020204" pitchFamily="34" charset="0"/>
              <a:ea typeface="+mn-ea"/>
              <a:cs typeface="+mn-cs"/>
            </a:rPr>
            <a:t>Current Year Debt</a:t>
          </a:r>
        </a:p>
      </xdr:txBody>
    </xdr:sp>
    <xdr:clientData/>
  </xdr:oneCellAnchor>
  <xdr:oneCellAnchor>
    <xdr:from>
      <xdr:col>8</xdr:col>
      <xdr:colOff>400050</xdr:colOff>
      <xdr:row>10</xdr:row>
      <xdr:rowOff>9525</xdr:rowOff>
    </xdr:from>
    <xdr:ext cx="1524007" cy="311496"/>
    <xdr:sp macro="" textlink="">
      <xdr:nvSpPr>
        <xdr:cNvPr id="20" name="TextBox 19">
          <a:extLst>
            <a:ext uri="{FF2B5EF4-FFF2-40B4-BE49-F238E27FC236}">
              <a16:creationId xmlns:a16="http://schemas.microsoft.com/office/drawing/2014/main" id="{27A40436-148E-400D-BC6A-0DD0A61C2195}"/>
            </a:ext>
          </a:extLst>
        </xdr:cNvPr>
        <xdr:cNvSpPr txBox="1"/>
      </xdr:nvSpPr>
      <xdr:spPr>
        <a:xfrm>
          <a:off x="5276850" y="1914525"/>
          <a:ext cx="152400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baseline="0">
              <a:solidFill>
                <a:schemeClr val="accent6"/>
              </a:solidFill>
              <a:latin typeface="Corbel Light" panose="020B0303020204020204" pitchFamily="34" charset="0"/>
            </a:rPr>
            <a:t>Previous Year Debt</a:t>
          </a:r>
          <a:endParaRPr lang="en-US" sz="1400" b="1">
            <a:solidFill>
              <a:schemeClr val="accent6"/>
            </a:solidFill>
            <a:latin typeface="Corbel Light" panose="020B0303020204020204" pitchFamily="34" charset="0"/>
          </a:endParaRPr>
        </a:p>
      </xdr:txBody>
    </xdr:sp>
    <xdr:clientData/>
  </xdr:oneCellAnchor>
  <xdr:oneCellAnchor>
    <xdr:from>
      <xdr:col>15</xdr:col>
      <xdr:colOff>104775</xdr:colOff>
      <xdr:row>9</xdr:row>
      <xdr:rowOff>104775</xdr:rowOff>
    </xdr:from>
    <xdr:ext cx="1445011" cy="311496"/>
    <xdr:sp macro="" textlink="">
      <xdr:nvSpPr>
        <xdr:cNvPr id="21" name="TextBox 20">
          <a:extLst>
            <a:ext uri="{FF2B5EF4-FFF2-40B4-BE49-F238E27FC236}">
              <a16:creationId xmlns:a16="http://schemas.microsoft.com/office/drawing/2014/main" id="{ABCAB716-FDCF-47D6-B08F-0BC83EFC72D1}"/>
            </a:ext>
          </a:extLst>
        </xdr:cNvPr>
        <xdr:cNvSpPr txBox="1"/>
      </xdr:nvSpPr>
      <xdr:spPr>
        <a:xfrm>
          <a:off x="9248775" y="1819275"/>
          <a:ext cx="144501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baseline="0">
              <a:solidFill>
                <a:schemeClr val="accent6"/>
              </a:solidFill>
            </a:rPr>
            <a:t>  </a:t>
          </a:r>
          <a:r>
            <a:rPr lang="en-US" sz="1400" b="1" baseline="0">
              <a:solidFill>
                <a:schemeClr val="accent6"/>
              </a:solidFill>
              <a:latin typeface="Corbel Light" panose="020B0303020204020204" pitchFamily="34" charset="0"/>
              <a:ea typeface="+mn-ea"/>
              <a:cs typeface="+mn-cs"/>
            </a:rPr>
            <a:t>Mulitlateral Debt</a:t>
          </a:r>
        </a:p>
      </xdr:txBody>
    </xdr:sp>
    <xdr:clientData/>
  </xdr:oneCellAnchor>
  <xdr:oneCellAnchor>
    <xdr:from>
      <xdr:col>2</xdr:col>
      <xdr:colOff>523875</xdr:colOff>
      <xdr:row>8</xdr:row>
      <xdr:rowOff>104775</xdr:rowOff>
    </xdr:from>
    <xdr:ext cx="885825" cy="264560"/>
    <xdr:sp macro="" textlink="'Report Sheet'!B3">
      <xdr:nvSpPr>
        <xdr:cNvPr id="22" name="TextBox 21">
          <a:extLst>
            <a:ext uri="{FF2B5EF4-FFF2-40B4-BE49-F238E27FC236}">
              <a16:creationId xmlns:a16="http://schemas.microsoft.com/office/drawing/2014/main" id="{9FD886C0-B275-4406-85B0-9BD59553E29F}"/>
            </a:ext>
          </a:extLst>
        </xdr:cNvPr>
        <xdr:cNvSpPr txBox="1"/>
      </xdr:nvSpPr>
      <xdr:spPr>
        <a:xfrm>
          <a:off x="1743075" y="1628775"/>
          <a:ext cx="8858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E082E794-4953-494D-B745-010912F9775A}" type="TxLink">
            <a:rPr lang="en-US" sz="1100" b="1" i="0" u="none" strike="noStrike">
              <a:solidFill>
                <a:schemeClr val="accent6"/>
              </a:solidFill>
              <a:latin typeface="Calibri"/>
              <a:cs typeface="Calibri"/>
            </a:rPr>
            <a:pPr/>
            <a:t>$97.79M</a:t>
          </a:fld>
          <a:endParaRPr lang="en-US" sz="1100" b="1">
            <a:solidFill>
              <a:schemeClr val="accent6"/>
            </a:solidFill>
          </a:endParaRPr>
        </a:p>
      </xdr:txBody>
    </xdr:sp>
    <xdr:clientData/>
  </xdr:oneCellAnchor>
  <xdr:oneCellAnchor>
    <xdr:from>
      <xdr:col>15</xdr:col>
      <xdr:colOff>552450</xdr:colOff>
      <xdr:row>8</xdr:row>
      <xdr:rowOff>47625</xdr:rowOff>
    </xdr:from>
    <xdr:ext cx="654475" cy="304800"/>
    <xdr:sp macro="" textlink="'Report Sheet'!B5">
      <xdr:nvSpPr>
        <xdr:cNvPr id="24" name="TextBox 23">
          <a:extLst>
            <a:ext uri="{FF2B5EF4-FFF2-40B4-BE49-F238E27FC236}">
              <a16:creationId xmlns:a16="http://schemas.microsoft.com/office/drawing/2014/main" id="{E511F401-5742-4FDE-9005-082C4B750590}"/>
            </a:ext>
          </a:extLst>
        </xdr:cNvPr>
        <xdr:cNvSpPr txBox="1"/>
      </xdr:nvSpPr>
      <xdr:spPr>
        <a:xfrm>
          <a:off x="9696450" y="1571625"/>
          <a:ext cx="654475"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D8D9EDB7-7E06-414C-9433-65B3DC0B9315}" type="TxLink">
            <a:rPr lang="en-US" sz="1100" b="1" i="0" u="none" strike="noStrike">
              <a:solidFill>
                <a:schemeClr val="accent6"/>
              </a:solidFill>
              <a:latin typeface="Calibri"/>
              <a:ea typeface="+mn-ea"/>
              <a:cs typeface="Calibri"/>
            </a:rPr>
            <a:pPr marL="0" indent="0"/>
            <a:t>$91.29M</a:t>
          </a:fld>
          <a:endParaRPr lang="en-US" sz="1100" b="1" i="0" u="none" strike="noStrike">
            <a:solidFill>
              <a:schemeClr val="accent6"/>
            </a:solidFill>
            <a:latin typeface="Calibri"/>
            <a:ea typeface="+mn-ea"/>
            <a:cs typeface="Calibri"/>
          </a:endParaRPr>
        </a:p>
      </xdr:txBody>
    </xdr:sp>
    <xdr:clientData/>
  </xdr:oneCellAnchor>
  <xdr:twoCellAnchor editAs="oneCell">
    <xdr:from>
      <xdr:col>0</xdr:col>
      <xdr:colOff>95251</xdr:colOff>
      <xdr:row>0</xdr:row>
      <xdr:rowOff>104776</xdr:rowOff>
    </xdr:from>
    <xdr:to>
      <xdr:col>2</xdr:col>
      <xdr:colOff>190500</xdr:colOff>
      <xdr:row>5</xdr:row>
      <xdr:rowOff>66676</xdr:rowOff>
    </xdr:to>
    <xdr:pic>
      <xdr:nvPicPr>
        <xdr:cNvPr id="26" name="Picture 25">
          <a:extLst>
            <a:ext uri="{FF2B5EF4-FFF2-40B4-BE49-F238E27FC236}">
              <a16:creationId xmlns:a16="http://schemas.microsoft.com/office/drawing/2014/main" id="{AD242C9D-3C9B-47CE-B126-E5A468DFCFB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1" y="104776"/>
          <a:ext cx="1314449" cy="914400"/>
        </a:xfrm>
        <a:prstGeom prst="rect">
          <a:avLst/>
        </a:prstGeom>
      </xdr:spPr>
    </xdr:pic>
    <xdr:clientData/>
  </xdr:twoCellAnchor>
  <xdr:oneCellAnchor>
    <xdr:from>
      <xdr:col>9</xdr:col>
      <xdr:colOff>171450</xdr:colOff>
      <xdr:row>8</xdr:row>
      <xdr:rowOff>114299</xdr:rowOff>
    </xdr:from>
    <xdr:ext cx="857250" cy="264560"/>
    <xdr:sp macro="" textlink="'Report Sheet'!B4">
      <xdr:nvSpPr>
        <xdr:cNvPr id="7" name="TextBox 6">
          <a:extLst>
            <a:ext uri="{FF2B5EF4-FFF2-40B4-BE49-F238E27FC236}">
              <a16:creationId xmlns:a16="http://schemas.microsoft.com/office/drawing/2014/main" id="{3678C7C9-3ADB-4B8C-8F00-9B76F8CA2D35}"/>
            </a:ext>
          </a:extLst>
        </xdr:cNvPr>
        <xdr:cNvSpPr txBox="1"/>
      </xdr:nvSpPr>
      <xdr:spPr>
        <a:xfrm>
          <a:off x="5657850" y="1638299"/>
          <a:ext cx="8572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561D12D-14EF-471F-B065-18CA49C1BCBD}" type="TxLink">
            <a:rPr lang="en-US" sz="1100" b="1" i="0" u="none" strike="noStrike">
              <a:solidFill>
                <a:schemeClr val="accent6"/>
              </a:solidFill>
              <a:latin typeface="Calibri"/>
              <a:cs typeface="Calibri"/>
            </a:rPr>
            <a:pPr/>
            <a:t>$94.57M</a:t>
          </a:fld>
          <a:endParaRPr lang="en-US" sz="1100" b="1">
            <a:solidFill>
              <a:schemeClr val="accent6"/>
            </a:solidFill>
          </a:endParaRPr>
        </a:p>
      </xdr:txBody>
    </xdr:sp>
    <xdr:clientData/>
  </xdr:oneCellAnchor>
  <xdr:twoCellAnchor>
    <xdr:from>
      <xdr:col>11</xdr:col>
      <xdr:colOff>381000</xdr:colOff>
      <xdr:row>10</xdr:row>
      <xdr:rowOff>180975</xdr:rowOff>
    </xdr:from>
    <xdr:to>
      <xdr:col>14</xdr:col>
      <xdr:colOff>476250</xdr:colOff>
      <xdr:row>18</xdr:row>
      <xdr:rowOff>161924</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CA08B178-F7FA-43D8-82E0-11AC16E6D1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086600" y="2085975"/>
              <a:ext cx="1924050" cy="150494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6</xdr:col>
      <xdr:colOff>66675</xdr:colOff>
      <xdr:row>14</xdr:row>
      <xdr:rowOff>72795</xdr:rowOff>
    </xdr:from>
    <xdr:ext cx="609600" cy="311496"/>
    <xdr:sp macro="" textlink="'Report Sheet'!D7">
      <xdr:nvSpPr>
        <xdr:cNvPr id="10" name="TextBox 9">
          <a:extLst>
            <a:ext uri="{FF2B5EF4-FFF2-40B4-BE49-F238E27FC236}">
              <a16:creationId xmlns:a16="http://schemas.microsoft.com/office/drawing/2014/main" id="{3893C267-F598-46AC-B3B5-0CE574B203C9}"/>
            </a:ext>
          </a:extLst>
        </xdr:cNvPr>
        <xdr:cNvSpPr txBox="1"/>
      </xdr:nvSpPr>
      <xdr:spPr>
        <a:xfrm>
          <a:off x="3724275" y="2739795"/>
          <a:ext cx="6096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457E0A1-C845-4EBF-AACB-060E6369F124}" type="TxLink">
            <a:rPr lang="en-US" sz="1400" b="1" i="0" u="none" strike="noStrike">
              <a:solidFill>
                <a:schemeClr val="accent6"/>
              </a:solidFill>
              <a:latin typeface="Calibri"/>
              <a:cs typeface="Calibri"/>
            </a:rPr>
            <a:pPr/>
            <a:t>3%</a:t>
          </a:fld>
          <a:endParaRPr lang="en-US" sz="1100" b="1">
            <a:solidFill>
              <a:schemeClr val="accent6"/>
            </a:solidFill>
          </a:endParaRPr>
        </a:p>
      </xdr:txBody>
    </xdr:sp>
    <xdr:clientData/>
  </xdr:oneCellAnchor>
  <xdr:oneCellAnchor>
    <xdr:from>
      <xdr:col>12</xdr:col>
      <xdr:colOff>514350</xdr:colOff>
      <xdr:row>14</xdr:row>
      <xdr:rowOff>47625</xdr:rowOff>
    </xdr:from>
    <xdr:ext cx="588494" cy="311496"/>
    <xdr:sp macro="" textlink="'Report Sheet'!D6">
      <xdr:nvSpPr>
        <xdr:cNvPr id="11" name="TextBox 10">
          <a:extLst>
            <a:ext uri="{FF2B5EF4-FFF2-40B4-BE49-F238E27FC236}">
              <a16:creationId xmlns:a16="http://schemas.microsoft.com/office/drawing/2014/main" id="{5C8FC547-5A6B-4CED-ADFE-37679AD7327A}"/>
            </a:ext>
          </a:extLst>
        </xdr:cNvPr>
        <xdr:cNvSpPr txBox="1"/>
      </xdr:nvSpPr>
      <xdr:spPr>
        <a:xfrm>
          <a:off x="7800975" y="2714625"/>
          <a:ext cx="58849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F459DE3-E4FF-4415-87CB-231F9DA3149A}" type="TxLink">
            <a:rPr lang="en-US" sz="1400" b="1" i="0" u="none" strike="noStrike">
              <a:solidFill>
                <a:schemeClr val="accent6"/>
              </a:solidFill>
              <a:latin typeface="Calibri"/>
              <a:cs typeface="Calibri"/>
            </a:rPr>
            <a:pPr/>
            <a:t>7%</a:t>
          </a:fld>
          <a:endParaRPr lang="en-US" sz="1100" b="1">
            <a:solidFill>
              <a:schemeClr val="accent6"/>
            </a:solidFill>
          </a:endParaRPr>
        </a:p>
      </xdr:txBody>
    </xdr:sp>
    <xdr:clientData/>
  </xdr:oneCellAnchor>
  <xdr:oneCellAnchor>
    <xdr:from>
      <xdr:col>6</xdr:col>
      <xdr:colOff>35201</xdr:colOff>
      <xdr:row>14</xdr:row>
      <xdr:rowOff>38100</xdr:rowOff>
    </xdr:from>
    <xdr:ext cx="231025" cy="342786"/>
    <xdr:sp macro="" textlink="'Report Sheet'!E7">
      <xdr:nvSpPr>
        <xdr:cNvPr id="12" name="TextBox 11">
          <a:extLst>
            <a:ext uri="{FF2B5EF4-FFF2-40B4-BE49-F238E27FC236}">
              <a16:creationId xmlns:a16="http://schemas.microsoft.com/office/drawing/2014/main" id="{7CA51E12-FDA1-40AB-975B-6239ABABD92E}"/>
            </a:ext>
          </a:extLst>
        </xdr:cNvPr>
        <xdr:cNvSpPr txBox="1"/>
      </xdr:nvSpPr>
      <xdr:spPr>
        <a:xfrm>
          <a:off x="3678514" y="2705100"/>
          <a:ext cx="23102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3B2DA07-4316-41FF-A39F-926C220EA3D5}" type="TxLink">
            <a:rPr lang="en-US" sz="1600" b="1" i="0" u="none" strike="noStrike">
              <a:solidFill>
                <a:srgbClr val="FF0000"/>
              </a:solidFill>
              <a:latin typeface="Calibri"/>
              <a:cs typeface="Calibri"/>
            </a:rPr>
            <a:pPr/>
            <a:t> </a:t>
          </a:fld>
          <a:endParaRPr lang="en-US" sz="1600" b="1">
            <a:solidFill>
              <a:srgbClr val="FF0000"/>
            </a:solidFill>
          </a:endParaRPr>
        </a:p>
      </xdr:txBody>
    </xdr:sp>
    <xdr:clientData/>
  </xdr:oneCellAnchor>
  <xdr:oneCellAnchor>
    <xdr:from>
      <xdr:col>12</xdr:col>
      <xdr:colOff>485776</xdr:colOff>
      <xdr:row>14</xdr:row>
      <xdr:rowOff>66675</xdr:rowOff>
    </xdr:from>
    <xdr:ext cx="466724" cy="264560"/>
    <xdr:sp macro="" textlink="'Report Sheet'!E6">
      <xdr:nvSpPr>
        <xdr:cNvPr id="13" name="TextBox 12">
          <a:extLst>
            <a:ext uri="{FF2B5EF4-FFF2-40B4-BE49-F238E27FC236}">
              <a16:creationId xmlns:a16="http://schemas.microsoft.com/office/drawing/2014/main" id="{EE6BB4CE-4CEF-4FFB-9EAD-A08E5F81A519}"/>
            </a:ext>
          </a:extLst>
        </xdr:cNvPr>
        <xdr:cNvSpPr txBox="1"/>
      </xdr:nvSpPr>
      <xdr:spPr>
        <a:xfrm>
          <a:off x="7800976" y="2733675"/>
          <a:ext cx="46672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6C22EBF-0872-432C-8645-8E7EBD539431}" type="TxLink">
            <a:rPr lang="en-US" sz="1100" b="0" i="0" u="none" strike="noStrike">
              <a:solidFill>
                <a:srgbClr val="000000"/>
              </a:solidFill>
              <a:latin typeface="Calibri"/>
              <a:cs typeface="Calibri"/>
            </a:rPr>
            <a:pPr/>
            <a:t> </a:t>
          </a:fld>
          <a:endParaRPr lang="en-US" sz="1100"/>
        </a:p>
      </xdr:txBody>
    </xdr:sp>
    <xdr:clientData/>
  </xdr:oneCellAnchor>
  <xdr:oneCellAnchor>
    <xdr:from>
      <xdr:col>7</xdr:col>
      <xdr:colOff>41869</xdr:colOff>
      <xdr:row>18</xdr:row>
      <xdr:rowOff>94203</xdr:rowOff>
    </xdr:from>
    <xdr:ext cx="732692" cy="311496"/>
    <xdr:sp macro="" textlink="">
      <xdr:nvSpPr>
        <xdr:cNvPr id="28" name="TextBox 27">
          <a:extLst>
            <a:ext uri="{FF2B5EF4-FFF2-40B4-BE49-F238E27FC236}">
              <a16:creationId xmlns:a16="http://schemas.microsoft.com/office/drawing/2014/main" id="{5EF81EB5-0809-4762-A347-6542A9E26DB6}"/>
            </a:ext>
          </a:extLst>
        </xdr:cNvPr>
        <xdr:cNvSpPr txBox="1"/>
      </xdr:nvSpPr>
      <xdr:spPr>
        <a:xfrm>
          <a:off x="4291484" y="3485522"/>
          <a:ext cx="73269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a:t> </a:t>
          </a:r>
          <a:r>
            <a:rPr lang="en-US" sz="1400" b="1" baseline="0">
              <a:solidFill>
                <a:schemeClr val="accent6"/>
              </a:solidFill>
              <a:latin typeface="Corbel Light" panose="020B0303020204020204" pitchFamily="34" charset="0"/>
              <a:ea typeface="+mn-ea"/>
              <a:cs typeface="+mn-cs"/>
            </a:rPr>
            <a:t>YOY</a:t>
          </a:r>
        </a:p>
      </xdr:txBody>
    </xdr:sp>
    <xdr:clientData/>
  </xdr:oneCellAnchor>
  <xdr:oneCellAnchor>
    <xdr:from>
      <xdr:col>14</xdr:col>
      <xdr:colOff>20932</xdr:colOff>
      <xdr:row>17</xdr:row>
      <xdr:rowOff>157005</xdr:rowOff>
    </xdr:from>
    <xdr:ext cx="2208546" cy="311496"/>
    <xdr:sp macro="" textlink="">
      <xdr:nvSpPr>
        <xdr:cNvPr id="29" name="TextBox 28">
          <a:extLst>
            <a:ext uri="{FF2B5EF4-FFF2-40B4-BE49-F238E27FC236}">
              <a16:creationId xmlns:a16="http://schemas.microsoft.com/office/drawing/2014/main" id="{FA9589AA-FCDF-4500-9DD9-08F4A654F479}"/>
            </a:ext>
          </a:extLst>
        </xdr:cNvPr>
        <xdr:cNvSpPr txBox="1"/>
      </xdr:nvSpPr>
      <xdr:spPr>
        <a:xfrm>
          <a:off x="8520163" y="3359917"/>
          <a:ext cx="2208546"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baseline="0">
              <a:solidFill>
                <a:schemeClr val="accent6"/>
              </a:solidFill>
              <a:latin typeface="Corbel Light" panose="020B0303020204020204" pitchFamily="34" charset="0"/>
              <a:ea typeface="+mn-ea"/>
              <a:cs typeface="+mn-cs"/>
            </a:rPr>
            <a:t> Debt Varience</a:t>
          </a:r>
        </a:p>
      </xdr:txBody>
    </xdr:sp>
    <xdr:clientData/>
  </xdr:oneCellAnchor>
  <xdr:twoCellAnchor editAs="oneCell">
    <xdr:from>
      <xdr:col>18</xdr:col>
      <xdr:colOff>11906</xdr:colOff>
      <xdr:row>6</xdr:row>
      <xdr:rowOff>71437</xdr:rowOff>
    </xdr:from>
    <xdr:to>
      <xdr:col>25</xdr:col>
      <xdr:colOff>47625</xdr:colOff>
      <xdr:row>26</xdr:row>
      <xdr:rowOff>130968</xdr:rowOff>
    </xdr:to>
    <mc:AlternateContent xmlns:mc="http://schemas.openxmlformats.org/markup-compatibility/2006" xmlns:a14="http://schemas.microsoft.com/office/drawing/2010/main">
      <mc:Choice Requires="a14">
        <xdr:graphicFrame macro="">
          <xdr:nvGraphicFramePr>
            <xdr:cNvPr id="30" name="States/FGN">
              <a:extLst>
                <a:ext uri="{FF2B5EF4-FFF2-40B4-BE49-F238E27FC236}">
                  <a16:creationId xmlns:a16="http://schemas.microsoft.com/office/drawing/2014/main" id="{B4EFC13B-12FA-44F6-9E0E-2A2603C8E369}"/>
                </a:ext>
              </a:extLst>
            </xdr:cNvPr>
            <xdr:cNvGraphicFramePr/>
          </xdr:nvGraphicFramePr>
          <xdr:xfrm>
            <a:off x="0" y="0"/>
            <a:ext cx="0" cy="0"/>
          </xdr:xfrm>
          <a:graphic>
            <a:graphicData uri="http://schemas.microsoft.com/office/drawing/2010/slicer">
              <sle:slicer xmlns:sle="http://schemas.microsoft.com/office/drawing/2010/slicer" name="States/FGN"/>
            </a:graphicData>
          </a:graphic>
        </xdr:graphicFrame>
      </mc:Choice>
      <mc:Fallback xmlns="">
        <xdr:sp macro="" textlink="">
          <xdr:nvSpPr>
            <xdr:cNvPr id="0" name=""/>
            <xdr:cNvSpPr>
              <a:spLocks noTextEdit="1"/>
            </xdr:cNvSpPr>
          </xdr:nvSpPr>
          <xdr:spPr>
            <a:xfrm>
              <a:off x="10941844" y="1214437"/>
              <a:ext cx="4286250" cy="3869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47625</xdr:colOff>
      <xdr:row>1</xdr:row>
      <xdr:rowOff>71438</xdr:rowOff>
    </xdr:from>
    <xdr:to>
      <xdr:col>21</xdr:col>
      <xdr:colOff>188119</xdr:colOff>
      <xdr:row>6</xdr:row>
      <xdr:rowOff>23813</xdr:rowOff>
    </xdr:to>
    <xdr:sp macro="[0]!GotoHomepage" textlink="">
      <xdr:nvSpPr>
        <xdr:cNvPr id="31" name="Arrow: Right 30">
          <a:extLst>
            <a:ext uri="{FF2B5EF4-FFF2-40B4-BE49-F238E27FC236}">
              <a16:creationId xmlns:a16="http://schemas.microsoft.com/office/drawing/2014/main" id="{9D124961-B094-4370-91C3-5F254D12D1D1}"/>
            </a:ext>
          </a:extLst>
        </xdr:cNvPr>
        <xdr:cNvSpPr/>
      </xdr:nvSpPr>
      <xdr:spPr>
        <a:xfrm>
          <a:off x="10977563" y="261938"/>
          <a:ext cx="1962150" cy="904875"/>
        </a:xfrm>
        <a:prstGeom prst="rightArrow">
          <a:avLst/>
        </a:prstGeom>
        <a:solidFill>
          <a:schemeClr val="accent6"/>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a:t>
          </a:r>
          <a:r>
            <a:rPr lang="en-US" sz="1100" b="1" baseline="0"/>
            <a:t> HomePage</a:t>
          </a:r>
          <a:endParaRPr lang="en-US" sz="1100" b="1"/>
        </a:p>
      </xdr:txBody>
    </xdr:sp>
    <xdr:clientData/>
  </xdr:twoCellAnchor>
  <xdr:twoCellAnchor>
    <xdr:from>
      <xdr:col>0</xdr:col>
      <xdr:colOff>35718</xdr:colOff>
      <xdr:row>18</xdr:row>
      <xdr:rowOff>178594</xdr:rowOff>
    </xdr:from>
    <xdr:to>
      <xdr:col>7</xdr:col>
      <xdr:colOff>202406</xdr:colOff>
      <xdr:row>29</xdr:row>
      <xdr:rowOff>35719</xdr:rowOff>
    </xdr:to>
    <xdr:graphicFrame macro="">
      <xdr:nvGraphicFramePr>
        <xdr:cNvPr id="32" name="Chart 31">
          <a:extLst>
            <a:ext uri="{FF2B5EF4-FFF2-40B4-BE49-F238E27FC236}">
              <a16:creationId xmlns:a16="http://schemas.microsoft.com/office/drawing/2014/main" id="{2FBF4B4E-008F-4996-970D-7B2CEF3930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154781</xdr:colOff>
      <xdr:row>19</xdr:row>
      <xdr:rowOff>71437</xdr:rowOff>
    </xdr:from>
    <xdr:to>
      <xdr:col>17</xdr:col>
      <xdr:colOff>59532</xdr:colOff>
      <xdr:row>27</xdr:row>
      <xdr:rowOff>142875</xdr:rowOff>
    </xdr:to>
    <xdr:graphicFrame macro="">
      <xdr:nvGraphicFramePr>
        <xdr:cNvPr id="33" name="Chart 32">
          <a:extLst>
            <a:ext uri="{FF2B5EF4-FFF2-40B4-BE49-F238E27FC236}">
              <a16:creationId xmlns:a16="http://schemas.microsoft.com/office/drawing/2014/main" id="{65D2691B-69CD-4A67-9AC1-C28ECBB25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9526</xdr:colOff>
      <xdr:row>1</xdr:row>
      <xdr:rowOff>0</xdr:rowOff>
    </xdr:from>
    <xdr:to>
      <xdr:col>13</xdr:col>
      <xdr:colOff>495300</xdr:colOff>
      <xdr:row>10</xdr:row>
      <xdr:rowOff>95251</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337F5146-095B-41E3-89CB-06CD0B8C928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791951" y="190500"/>
              <a:ext cx="1095374" cy="18097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619125</xdr:colOff>
      <xdr:row>1</xdr:row>
      <xdr:rowOff>38100</xdr:rowOff>
    </xdr:from>
    <xdr:to>
      <xdr:col>4</xdr:col>
      <xdr:colOff>485775</xdr:colOff>
      <xdr:row>6</xdr:row>
      <xdr:rowOff>57150</xdr:rowOff>
    </xdr:to>
    <xdr:sp macro="[0]!GotoHomepage" textlink="">
      <xdr:nvSpPr>
        <xdr:cNvPr id="4" name="Arrow: Right 3">
          <a:extLst>
            <a:ext uri="{FF2B5EF4-FFF2-40B4-BE49-F238E27FC236}">
              <a16:creationId xmlns:a16="http://schemas.microsoft.com/office/drawing/2014/main" id="{5DB7B78A-693D-4C5B-887C-1EA849334D38}"/>
            </a:ext>
          </a:extLst>
        </xdr:cNvPr>
        <xdr:cNvSpPr/>
      </xdr:nvSpPr>
      <xdr:spPr>
        <a:xfrm>
          <a:off x="2886075" y="228600"/>
          <a:ext cx="1838325" cy="971550"/>
        </a:xfrm>
        <a:prstGeom prst="rightArrow">
          <a:avLst/>
        </a:prstGeom>
        <a:solidFill>
          <a:schemeClr val="accent6"/>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a:t>
          </a:r>
          <a:r>
            <a:rPr lang="en-US" sz="1100" b="1" baseline="0"/>
            <a:t> HomePage</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723900</xdr:colOff>
      <xdr:row>2</xdr:row>
      <xdr:rowOff>123825</xdr:rowOff>
    </xdr:from>
    <xdr:to>
      <xdr:col>12</xdr:col>
      <xdr:colOff>504825</xdr:colOff>
      <xdr:row>7</xdr:row>
      <xdr:rowOff>76200</xdr:rowOff>
    </xdr:to>
    <xdr:sp macro="[0]!GotoHomepage" textlink="">
      <xdr:nvSpPr>
        <xdr:cNvPr id="3" name="Arrow: Right 2">
          <a:extLst>
            <a:ext uri="{FF2B5EF4-FFF2-40B4-BE49-F238E27FC236}">
              <a16:creationId xmlns:a16="http://schemas.microsoft.com/office/drawing/2014/main" id="{879C550E-8C2D-403F-95E1-C34221468BF0}"/>
            </a:ext>
          </a:extLst>
        </xdr:cNvPr>
        <xdr:cNvSpPr/>
      </xdr:nvSpPr>
      <xdr:spPr>
        <a:xfrm>
          <a:off x="8401050" y="504825"/>
          <a:ext cx="1962150" cy="904875"/>
        </a:xfrm>
        <a:prstGeom prst="rightArrow">
          <a:avLst/>
        </a:prstGeom>
        <a:solidFill>
          <a:schemeClr val="accent6"/>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a:t>
          </a:r>
          <a:r>
            <a:rPr lang="en-US" sz="1100" b="1" baseline="0"/>
            <a:t> HomePage</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2</xdr:row>
      <xdr:rowOff>0</xdr:rowOff>
    </xdr:from>
    <xdr:to>
      <xdr:col>9</xdr:col>
      <xdr:colOff>133350</xdr:colOff>
      <xdr:row>6</xdr:row>
      <xdr:rowOff>142875</xdr:rowOff>
    </xdr:to>
    <xdr:sp macro="[0]!GotoHomepage" textlink="">
      <xdr:nvSpPr>
        <xdr:cNvPr id="3" name="Arrow: Right 2">
          <a:extLst>
            <a:ext uri="{FF2B5EF4-FFF2-40B4-BE49-F238E27FC236}">
              <a16:creationId xmlns:a16="http://schemas.microsoft.com/office/drawing/2014/main" id="{7A6CC3A9-77E9-4600-BAAB-DCDCFDD0F604}"/>
            </a:ext>
          </a:extLst>
        </xdr:cNvPr>
        <xdr:cNvSpPr/>
      </xdr:nvSpPr>
      <xdr:spPr>
        <a:xfrm>
          <a:off x="5229225" y="381000"/>
          <a:ext cx="1962150" cy="904875"/>
        </a:xfrm>
        <a:prstGeom prst="rightArrow">
          <a:avLst/>
        </a:prstGeom>
        <a:solidFill>
          <a:schemeClr val="accent6"/>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 To View</a:t>
          </a:r>
          <a:r>
            <a:rPr lang="en-US" sz="1100" b="1" baseline="0"/>
            <a:t> HomePage</a:t>
          </a:r>
          <a:endParaRPr lang="en-US" sz="1100" b="1"/>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502.350792476849" createdVersion="5" refreshedVersion="7" minRefreshableVersion="3" recordCount="0" supportSubquery="1" supportAdvancedDrill="1" xr:uid="{CB419FC2-2522-4CDB-9516-8919F4A621E3}">
  <cacheSource type="external" connectionId="2"/>
  <cacheFields count="8">
    <cacheField name="[Measures].[Current Year Debt]" caption="Current Year Debt" numFmtId="0" hierarchy="16" level="32767"/>
    <cacheField name="[Calendar].[Date Hierarchy].[Year]" caption="Year" numFmtId="0" hierarchy="9" level="1">
      <sharedItems containsSemiMixedTypes="0" containsNonDate="0" containsString="0"/>
    </cacheField>
    <cacheField name="[Calendar].[Date Hierarchy].[Month]" caption="Month" numFmtId="0" hierarchy="9" level="2">
      <sharedItems containsSemiMixedTypes="0" containsNonDate="0" containsString="0"/>
    </cacheField>
    <cacheField name="[Calendar].[Date Hierarchy].[DateColumn]" caption="DateColumn" numFmtId="0" hierarchy="9" level="3">
      <sharedItems containsSemiMixedTypes="0" containsNonDate="0" containsString="0"/>
    </cacheField>
    <cacheField name="[Measures].[Multilateral Debt]" caption="Multilateral Debt" numFmtId="0" hierarchy="18" level="32767"/>
    <cacheField name="[Calendar].[Month].[Month]" caption="Month" numFmtId="0" hierarchy="12" level="1">
      <sharedItems count="10">
        <s v="January"/>
        <s v="February"/>
        <s v="March"/>
        <s v="April"/>
        <s v="May"/>
        <s v="June"/>
        <s v="July"/>
        <s v="August"/>
        <s v="September"/>
        <s v="October"/>
      </sharedItems>
    </cacheField>
    <cacheField name="[_Total_Debt].[Total Debt Each Year].[Total Debt Each Year]" caption="Total Debt Each Year" numFmtId="0" hierarchy="6" level="1">
      <sharedItems containsSemiMixedTypes="0" containsNonDate="0" containsString="0"/>
    </cacheField>
    <cacheField name="[_Master].[States/FGN].[States/FGN]" caption="States/FGN" numFmtId="0" hierarchy="1" level="1">
      <sharedItems containsSemiMixedTypes="0" containsNonDate="0" containsString="0"/>
    </cacheField>
  </cacheFields>
  <cacheHierarchies count="26">
    <cacheHierarchy uniqueName="[_Master].[Series]" caption="Series" attribute="1" defaultMemberUniqueName="[_Master].[Series].[All]" allUniqueName="[_Master].[Series].[All]" dimensionUniqueName="[_Master]" displayFolder="" count="2" memberValueDatatype="20" unbalanced="0"/>
    <cacheHierarchy uniqueName="[_Master].[States/FGN]" caption="States/FGN" attribute="1" defaultMemberUniqueName="[_Master].[States/FGN].[All]" allUniqueName="[_Master].[States/FGN].[All]" dimensionUniqueName="[_Master]" displayFolder="" count="2" memberValueDatatype="130" unbalanced="0">
      <fieldsUsage count="2">
        <fieldUsage x="-1"/>
        <fieldUsage x="7"/>
      </fieldsUsage>
    </cacheHierarchy>
    <cacheHierarchy uniqueName="[_Multilateral_Debt].[Date]" caption="Date" attribute="1" time="1" defaultMemberUniqueName="[_Multilateral_Debt].[Date].[All]" allUniqueName="[_Multilateral_Debt].[Date].[All]" dimensionUniqueName="[_Multilateral_Debt]" displayFolder="" count="2" memberValueDatatype="7" unbalanced="0"/>
    <cacheHierarchy uniqueName="[_Multilateral_Debt].[Total Debt Each Year]" caption="Total Debt Each Year" attribute="1" defaultMemberUniqueName="[_Multilateral_Debt].[Total Debt Each Year].[All]" allUniqueName="[_Multilateral_Debt].[Total Debt Each Year].[All]" dimensionUniqueName="[_Multilateral_Debt]" displayFolder="" count="2" memberValueDatatype="130" unbalanced="0"/>
    <cacheHierarchy uniqueName="[_Multilateral_Debt].[Total Sum Of Debt]" caption="Total Sum Of Debt" attribute="1" defaultMemberUniqueName="[_Multilateral_Debt].[Total Sum Of Debt].[All]" allUniqueName="[_Multilateral_Debt].[Total Sum Of Debt].[All]" dimensionUniqueName="[_Multilateral_Debt]" displayFolder="" count="2" memberValueDatatype="5" unbalanced="0"/>
    <cacheHierarchy uniqueName="[_Total_Debt].[Date]" caption="Date" attribute="1" time="1" defaultMemberUniqueName="[_Total_Debt].[Date].[All]" allUniqueName="[_Total_Debt].[Date].[All]" dimensionUniqueName="[_Total_Debt]" displayFolder="" count="2" memberValueDatatype="7" unbalanced="0"/>
    <cacheHierarchy uniqueName="[_Total_Debt].[Total Debt Each Year]" caption="Total Debt Each Year" attribute="1" defaultMemberUniqueName="[_Total_Debt].[Total Debt Each Year].[All]" allUniqueName="[_Total_Debt].[Total Debt Each Year].[All]" dimensionUniqueName="[_Total_Debt]" displayFolder="" count="2" memberValueDatatype="130" unbalanced="0">
      <fieldsUsage count="2">
        <fieldUsage x="-1"/>
        <fieldUsage x="6"/>
      </fieldsUsage>
    </cacheHierarchy>
    <cacheHierarchy uniqueName="[_Total_Debt].[Total Sum Of Debt]" caption="Total Sum Of Debt" attribute="1" defaultMemberUniqueName="[_Total_Debt].[Total Sum Of Debt].[All]" allUniqueName="[_Total_Debt].[Total Sum Of Debt].[All]" dimensionUniqueName="[_Total_Debt]" displayFolder="" count="2" memberValueDatatype="5"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5"/>
      </fieldsUsage>
    </cacheHierarchy>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Measures].[Current Year Debt]" caption="Current Year Debt" measure="1" displayFolder="" measureGroup="_Total_Debt" count="0" oneField="1">
      <fieldsUsage count="1">
        <fieldUsage x="0"/>
      </fieldsUsage>
    </cacheHierarchy>
    <cacheHierarchy uniqueName="[Measures].[Previous Year Debt]" caption="Previous Year Debt" measure="1" displayFolder="" measureGroup="_Total_Debt" count="0"/>
    <cacheHierarchy uniqueName="[Measures].[Multilateral Debt]" caption="Multilateral Debt" measure="1" displayFolder="" measureGroup="_Multilateral_Debt" count="0" oneField="1">
      <fieldsUsage count="1">
        <fieldUsage x="4"/>
      </fieldsUsage>
    </cacheHierarchy>
    <cacheHierarchy uniqueName="[Measures].[YOY]" caption="YOY" measure="1" displayFolder="" measureGroup="_Total_Debt" count="0"/>
    <cacheHierarchy uniqueName="[Measures].[Multilateral Debt Variance]" caption="Multilateral Debt Variance" measure="1" displayFolder="" measureGroup="_Total_Debt" count="0"/>
    <cacheHierarchy uniqueName="[Measures].[__XL_Count _Total_Debt]" caption="__XL_Count _Total_Debt" measure="1" displayFolder="" measureGroup="_Total_Debt" count="0" hidden="1"/>
    <cacheHierarchy uniqueName="[Measures].[__XL_Count _Multilateral_Debt]" caption="__XL_Count _Multilateral_Debt" measure="1" displayFolder="" measureGroup="_Multilateral_Debt" count="0" hidden="1"/>
    <cacheHierarchy uniqueName="[Measures].[__XL_Count _Master]" caption="__XL_Count _Master" measure="1" displayFolder="" measureGroup="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_Master" uniqueName="[_Master]" caption="_Master"/>
    <dimension name="_Multilateral_Debt" uniqueName="[_Multilateral_Debt]" caption="_Multilateral_Debt"/>
    <dimension name="_Total_Debt" uniqueName="[_Total_Debt]" caption="_Total_Debt"/>
    <dimension name="Calendar" uniqueName="[Calendar]" caption="Calendar"/>
    <dimension measure="1" name="Measures" uniqueName="[Measures]" caption="Measures"/>
  </dimensions>
  <measureGroups count="4">
    <measureGroup name="_Master" caption="_Master"/>
    <measureGroup name="_Multilateral_Debt" caption="_Multilateral_Debt"/>
    <measureGroup name="_Total_Debt" caption="_Total_Debt"/>
    <measureGroup name="Calendar" caption="Calendar"/>
  </measureGroups>
  <maps count="8">
    <map measureGroup="0" dimension="0"/>
    <map measureGroup="1" dimension="0"/>
    <map measureGroup="1" dimension="1"/>
    <map measureGroup="1" dimension="3"/>
    <map measureGroup="2" dimension="0"/>
    <map measureGroup="2" dimension="2"/>
    <map measureGroup="2" dimension="3"/>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502.35915138889" createdVersion="5" refreshedVersion="7" minRefreshableVersion="3" recordCount="0" supportSubquery="1" supportAdvancedDrill="1" xr:uid="{A8D212BF-1D56-4229-8FCF-02998B30420A}">
  <cacheSource type="external" connectionId="2"/>
  <cacheFields count="10">
    <cacheField name="[Measures].[Current Year Debt]" caption="Current Year Debt" numFmtId="0" hierarchy="16" level="32767"/>
    <cacheField name="[Measures].[Previous Year Debt]" caption="Previous Year Debt" numFmtId="0" hierarchy="17" level="32767"/>
    <cacheField name="[Measures].[YOY]" caption="YOY" numFmtId="0" hierarchy="19" level="32767"/>
    <cacheField name="[Measures].[Multilateral Debt]" caption="Multilateral Debt" numFmtId="0" hierarchy="18" level="32767"/>
    <cacheField name="[Measures].[Multilateral Debt Variance]" caption="Multilateral Debt Variance" numFmtId="0" hierarchy="20" level="32767"/>
    <cacheField name="[_Total_Debt].[Total Debt Each Year].[Total Debt Each Year]" caption="Total Debt Each Year" numFmtId="0" hierarchy="6" level="1">
      <sharedItems containsSemiMixedTypes="0" containsNonDate="0" containsString="0"/>
    </cacheField>
    <cacheField name="[Calendar].[Date Hierarchy].[Year]" caption="Year" numFmtId="0" hierarchy="9" level="1">
      <sharedItems containsSemiMixedTypes="0" containsNonDate="0" containsString="0"/>
    </cacheField>
    <cacheField name="[Calendar].[Date Hierarchy].[Month]" caption="Month" numFmtId="0" hierarchy="9" level="2">
      <sharedItems containsSemiMixedTypes="0" containsNonDate="0" containsString="0"/>
    </cacheField>
    <cacheField name="[Calendar].[Date Hierarchy].[DateColumn]" caption="DateColumn" numFmtId="0" hierarchy="9" level="3">
      <sharedItems containsSemiMixedTypes="0" containsNonDate="0" containsString="0"/>
    </cacheField>
    <cacheField name="[_Master].[States/FGN].[States/FGN]" caption="States/FGN" numFmtId="0" hierarchy="1" level="1">
      <sharedItems containsSemiMixedTypes="0" containsNonDate="0" containsString="0"/>
    </cacheField>
  </cacheFields>
  <cacheHierarchies count="26">
    <cacheHierarchy uniqueName="[_Master].[Series]" caption="Series" attribute="1" defaultMemberUniqueName="[_Master].[Series].[All]" allUniqueName="[_Master].[Series].[All]" dimensionUniqueName="[_Master]" displayFolder="" count="0" memberValueDatatype="20" unbalanced="0"/>
    <cacheHierarchy uniqueName="[_Master].[States/FGN]" caption="States/FGN" attribute="1" defaultMemberUniqueName="[_Master].[States/FGN].[All]" allUniqueName="[_Master].[States/FGN].[All]" dimensionUniqueName="[_Master]" displayFolder="" count="2" memberValueDatatype="130" unbalanced="0">
      <fieldsUsage count="2">
        <fieldUsage x="-1"/>
        <fieldUsage x="9"/>
      </fieldsUsage>
    </cacheHierarchy>
    <cacheHierarchy uniqueName="[_Multilateral_Debt].[Date]" caption="Date" attribute="1" time="1" defaultMemberUniqueName="[_Multilateral_Debt].[Date].[All]" allUniqueName="[_Multilateral_Debt].[Date].[All]" dimensionUniqueName="[_Multilateral_Debt]" displayFolder="" count="0" memberValueDatatype="7" unbalanced="0"/>
    <cacheHierarchy uniqueName="[_Multilateral_Debt].[Total Debt Each Year]" caption="Total Debt Each Year" attribute="1" defaultMemberUniqueName="[_Multilateral_Debt].[Total Debt Each Year].[All]" allUniqueName="[_Multilateral_Debt].[Total Debt Each Year].[All]" dimensionUniqueName="[_Multilateral_Debt]" displayFolder="" count="0" memberValueDatatype="130" unbalanced="0"/>
    <cacheHierarchy uniqueName="[_Multilateral_Debt].[Total Sum Of Debt]" caption="Total Sum Of Debt" attribute="1" defaultMemberUniqueName="[_Multilateral_Debt].[Total Sum Of Debt].[All]" allUniqueName="[_Multilateral_Debt].[Total Sum Of Debt].[All]" dimensionUniqueName="[_Multilateral_Debt]" displayFolder="" count="0" memberValueDatatype="5" unbalanced="0"/>
    <cacheHierarchy uniqueName="[_Total_Debt].[Date]" caption="Date" attribute="1" time="1" defaultMemberUniqueName="[_Total_Debt].[Date].[All]" allUniqueName="[_Total_Debt].[Date].[All]" dimensionUniqueName="[_Total_Debt]" displayFolder="" count="0" memberValueDatatype="7" unbalanced="0"/>
    <cacheHierarchy uniqueName="[_Total_Debt].[Total Debt Each Year]" caption="Total Debt Each Year" attribute="1" defaultMemberUniqueName="[_Total_Debt].[Total Debt Each Year].[All]" allUniqueName="[_Total_Debt].[Total Debt Each Year].[All]" dimensionUniqueName="[_Total_Debt]" displayFolder="" count="2" memberValueDatatype="130" unbalanced="0">
      <fieldsUsage count="2">
        <fieldUsage x="-1"/>
        <fieldUsage x="5"/>
      </fieldsUsage>
    </cacheHierarchy>
    <cacheHierarchy uniqueName="[_Total_Debt].[Total Sum Of Debt]" caption="Total Sum Of Debt" attribute="1" defaultMemberUniqueName="[_Total_Debt].[Total Sum Of Debt].[All]" allUniqueName="[_Total_Debt].[Total Sum Of Debt].[All]" dimensionUniqueName="[_Total_Debt]" displayFolder="" count="0" memberValueDatatype="5"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6"/>
        <fieldUsage x="7"/>
        <fieldUsage x="8"/>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easures].[Current Year Debt]" caption="Current Year Debt" measure="1" displayFolder="" measureGroup="_Total_Debt" count="0" oneField="1">
      <fieldsUsage count="1">
        <fieldUsage x="0"/>
      </fieldsUsage>
    </cacheHierarchy>
    <cacheHierarchy uniqueName="[Measures].[Previous Year Debt]" caption="Previous Year Debt" measure="1" displayFolder="" measureGroup="_Total_Debt" count="0" oneField="1">
      <fieldsUsage count="1">
        <fieldUsage x="1"/>
      </fieldsUsage>
    </cacheHierarchy>
    <cacheHierarchy uniqueName="[Measures].[Multilateral Debt]" caption="Multilateral Debt" measure="1" displayFolder="" measureGroup="_Multilateral_Debt" count="0" oneField="1">
      <fieldsUsage count="1">
        <fieldUsage x="3"/>
      </fieldsUsage>
    </cacheHierarchy>
    <cacheHierarchy uniqueName="[Measures].[YOY]" caption="YOY" measure="1" displayFolder="" measureGroup="_Total_Debt" count="0" oneField="1">
      <fieldsUsage count="1">
        <fieldUsage x="2"/>
      </fieldsUsage>
    </cacheHierarchy>
    <cacheHierarchy uniqueName="[Measures].[Multilateral Debt Variance]" caption="Multilateral Debt Variance" measure="1" displayFolder="" measureGroup="_Total_Debt" count="0" oneField="1">
      <fieldsUsage count="1">
        <fieldUsage x="4"/>
      </fieldsUsage>
    </cacheHierarchy>
    <cacheHierarchy uniqueName="[Measures].[__XL_Count _Total_Debt]" caption="__XL_Count _Total_Debt" measure="1" displayFolder="" measureGroup="_Total_Debt" count="0" hidden="1"/>
    <cacheHierarchy uniqueName="[Measures].[__XL_Count _Multilateral_Debt]" caption="__XL_Count _Multilateral_Debt" measure="1" displayFolder="" measureGroup="_Multilateral_Debt" count="0" hidden="1"/>
    <cacheHierarchy uniqueName="[Measures].[__XL_Count _Master]" caption="__XL_Count _Master" measure="1" displayFolder="" measureGroup="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_Master" uniqueName="[_Master]" caption="_Master"/>
    <dimension name="_Multilateral_Debt" uniqueName="[_Multilateral_Debt]" caption="_Multilateral_Debt"/>
    <dimension name="_Total_Debt" uniqueName="[_Total_Debt]" caption="_Total_Debt"/>
    <dimension name="Calendar" uniqueName="[Calendar]" caption="Calendar"/>
    <dimension measure="1" name="Measures" uniqueName="[Measures]" caption="Measures"/>
  </dimensions>
  <measureGroups count="4">
    <measureGroup name="_Master" caption="_Master"/>
    <measureGroup name="_Multilateral_Debt" caption="_Multilateral_Debt"/>
    <measureGroup name="_Total_Debt" caption="_Total_Debt"/>
    <measureGroup name="Calendar" caption="Calendar"/>
  </measureGroups>
  <maps count="8">
    <map measureGroup="0" dimension="0"/>
    <map measureGroup="1" dimension="0"/>
    <map measureGroup="1" dimension="1"/>
    <map measureGroup="1" dimension="3"/>
    <map measureGroup="2" dimension="0"/>
    <map measureGroup="2" dimension="2"/>
    <map measureGroup="2" dimension="3"/>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502.359152083336" createdVersion="5" refreshedVersion="7" minRefreshableVersion="3" recordCount="0" supportSubquery="1" supportAdvancedDrill="1" xr:uid="{5E503C2E-ACE5-4C32-B502-DAC0F75C902C}">
  <cacheSource type="external" connectionId="2"/>
  <cacheFields count="7">
    <cacheField name="[Measures].[Current Year Debt]" caption="Current Year Debt" numFmtId="0" hierarchy="16" level="32767"/>
    <cacheField name="[Measures].[Multilateral Debt]" caption="Multilateral Debt" numFmtId="0" hierarchy="18" level="32767"/>
    <cacheField name="[_Master].[States/FGN].[States/FGN]" caption="States/FGN" numFmtId="0" hierarchy="1" level="1">
      <sharedItems count="1">
        <s v="Adamawa"/>
      </sharedItems>
    </cacheField>
    <cacheField name="[_Total_Debt].[Total Debt Each Year].[Total Debt Each Year]" caption="Total Debt Each Year" numFmtId="0" hierarchy="6" level="1">
      <sharedItems containsSemiMixedTypes="0" containsNonDate="0" containsString="0"/>
    </cacheField>
    <cacheField name="[Calendar].[Date Hierarchy].[Year]" caption="Year" numFmtId="0" hierarchy="9" level="1">
      <sharedItems containsSemiMixedTypes="0" containsNonDate="0" containsString="0"/>
    </cacheField>
    <cacheField name="[Calendar].[Date Hierarchy].[Month]" caption="Month" numFmtId="0" hierarchy="9" level="2">
      <sharedItems containsSemiMixedTypes="0" containsNonDate="0" containsString="0"/>
    </cacheField>
    <cacheField name="[Calendar].[Date Hierarchy].[DateColumn]" caption="DateColumn" numFmtId="0" hierarchy="9" level="3">
      <sharedItems containsSemiMixedTypes="0" containsNonDate="0" containsString="0"/>
    </cacheField>
  </cacheFields>
  <cacheHierarchies count="26">
    <cacheHierarchy uniqueName="[_Master].[Series]" caption="Series" attribute="1" defaultMemberUniqueName="[_Master].[Series].[All]" allUniqueName="[_Master].[Series].[All]" dimensionUniqueName="[_Master]" displayFolder="" count="2" memberValueDatatype="20" unbalanced="0"/>
    <cacheHierarchy uniqueName="[_Master].[States/FGN]" caption="States/FGN" attribute="1" defaultMemberUniqueName="[_Master].[States/FGN].[All]" allUniqueName="[_Master].[States/FGN].[All]" dimensionUniqueName="[_Master]" displayFolder="" count="2" memberValueDatatype="130" unbalanced="0">
      <fieldsUsage count="2">
        <fieldUsage x="-1"/>
        <fieldUsage x="2"/>
      </fieldsUsage>
    </cacheHierarchy>
    <cacheHierarchy uniqueName="[_Multilateral_Debt].[Date]" caption="Date" attribute="1" time="1" defaultMemberUniqueName="[_Multilateral_Debt].[Date].[All]" allUniqueName="[_Multilateral_Debt].[Date].[All]" dimensionUniqueName="[_Multilateral_Debt]" displayFolder="" count="2" memberValueDatatype="7" unbalanced="0"/>
    <cacheHierarchy uniqueName="[_Multilateral_Debt].[Total Debt Each Year]" caption="Total Debt Each Year" attribute="1" defaultMemberUniqueName="[_Multilateral_Debt].[Total Debt Each Year].[All]" allUniqueName="[_Multilateral_Debt].[Total Debt Each Year].[All]" dimensionUniqueName="[_Multilateral_Debt]" displayFolder="" count="2" memberValueDatatype="130" unbalanced="0"/>
    <cacheHierarchy uniqueName="[_Multilateral_Debt].[Total Sum Of Debt]" caption="Total Sum Of Debt" attribute="1" defaultMemberUniqueName="[_Multilateral_Debt].[Total Sum Of Debt].[All]" allUniqueName="[_Multilateral_Debt].[Total Sum Of Debt].[All]" dimensionUniqueName="[_Multilateral_Debt]" displayFolder="" count="2" memberValueDatatype="5" unbalanced="0"/>
    <cacheHierarchy uniqueName="[_Total_Debt].[Date]" caption="Date" attribute="1" time="1" defaultMemberUniqueName="[_Total_Debt].[Date].[All]" allUniqueName="[_Total_Debt].[Date].[All]" dimensionUniqueName="[_Total_Debt]" displayFolder="" count="2" memberValueDatatype="7" unbalanced="0"/>
    <cacheHierarchy uniqueName="[_Total_Debt].[Total Debt Each Year]" caption="Total Debt Each Year" attribute="1" defaultMemberUniqueName="[_Total_Debt].[Total Debt Each Year].[All]" allUniqueName="[_Total_Debt].[Total Debt Each Year].[All]" dimensionUniqueName="[_Total_Debt]" displayFolder="" count="2" memberValueDatatype="130" unbalanced="0">
      <fieldsUsage count="2">
        <fieldUsage x="-1"/>
        <fieldUsage x="3"/>
      </fieldsUsage>
    </cacheHierarchy>
    <cacheHierarchy uniqueName="[_Total_Debt].[Total Sum Of Debt]" caption="Total Sum Of Debt" attribute="1" defaultMemberUniqueName="[_Total_Debt].[Total Sum Of Debt].[All]" allUniqueName="[_Total_Debt].[Total Sum Of Debt].[All]" dimensionUniqueName="[_Total_Debt]" displayFolder="" count="2" memberValueDatatype="5"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Measures].[Current Year Debt]" caption="Current Year Debt" measure="1" displayFolder="" measureGroup="_Total_Debt" count="0" oneField="1">
      <fieldsUsage count="1">
        <fieldUsage x="0"/>
      </fieldsUsage>
    </cacheHierarchy>
    <cacheHierarchy uniqueName="[Measures].[Previous Year Debt]" caption="Previous Year Debt" measure="1" displayFolder="" measureGroup="_Total_Debt" count="0"/>
    <cacheHierarchy uniqueName="[Measures].[Multilateral Debt]" caption="Multilateral Debt" measure="1" displayFolder="" measureGroup="_Multilateral_Debt" count="0" oneField="1">
      <fieldsUsage count="1">
        <fieldUsage x="1"/>
      </fieldsUsage>
    </cacheHierarchy>
    <cacheHierarchy uniqueName="[Measures].[YOY]" caption="YOY" measure="1" displayFolder="" measureGroup="_Total_Debt" count="0"/>
    <cacheHierarchy uniqueName="[Measures].[Multilateral Debt Variance]" caption="Multilateral Debt Variance" measure="1" displayFolder="" measureGroup="_Total_Debt" count="0"/>
    <cacheHierarchy uniqueName="[Measures].[__XL_Count _Total_Debt]" caption="__XL_Count _Total_Debt" measure="1" displayFolder="" measureGroup="_Total_Debt" count="0" hidden="1"/>
    <cacheHierarchy uniqueName="[Measures].[__XL_Count _Multilateral_Debt]" caption="__XL_Count _Multilateral_Debt" measure="1" displayFolder="" measureGroup="_Multilateral_Debt" count="0" hidden="1"/>
    <cacheHierarchy uniqueName="[Measures].[__XL_Count _Master]" caption="__XL_Count _Master" measure="1" displayFolder="" measureGroup="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_Master" uniqueName="[_Master]" caption="_Master"/>
    <dimension name="_Multilateral_Debt" uniqueName="[_Multilateral_Debt]" caption="_Multilateral_Debt"/>
    <dimension name="_Total_Debt" uniqueName="[_Total_Debt]" caption="_Total_Debt"/>
    <dimension name="Calendar" uniqueName="[Calendar]" caption="Calendar"/>
    <dimension measure="1" name="Measures" uniqueName="[Measures]" caption="Measures"/>
  </dimensions>
  <measureGroups count="4">
    <measureGroup name="_Master" caption="_Master"/>
    <measureGroup name="_Multilateral_Debt" caption="_Multilateral_Debt"/>
    <measureGroup name="_Total_Debt" caption="_Total_Debt"/>
    <measureGroup name="Calendar" caption="Calendar"/>
  </measureGroups>
  <maps count="8">
    <map measureGroup="0" dimension="0"/>
    <map measureGroup="1" dimension="0"/>
    <map measureGroup="1" dimension="1"/>
    <map measureGroup="1" dimension="3"/>
    <map measureGroup="2" dimension="0"/>
    <map measureGroup="2" dimension="2"/>
    <map measureGroup="2" dimension="3"/>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502.359152546298" createdVersion="5" refreshedVersion="7" minRefreshableVersion="3" recordCount="0" supportSubquery="1" supportAdvancedDrill="1" xr:uid="{48D51BB6-C008-4E36-B02D-11C6803F8F29}">
  <cacheSource type="external" connectionId="2"/>
  <cacheFields count="7">
    <cacheField name="[Measures].[Current Year Debt]" caption="Current Year Debt" numFmtId="0" hierarchy="16" level="32767"/>
    <cacheField name="[Measures].[Previous Year Debt]" caption="Previous Year Debt" numFmtId="0" hierarchy="17" level="32767"/>
    <cacheField name="[_Master].[States/FGN].[States/FGN]" caption="States/FGN" numFmtId="0" hierarchy="1" level="1">
      <sharedItems count="1">
        <s v="Adamawa"/>
      </sharedItems>
    </cacheField>
    <cacheField name="[_Total_Debt].[Total Debt Each Year].[Total Debt Each Year]" caption="Total Debt Each Year" numFmtId="0" hierarchy="6" level="1">
      <sharedItems containsSemiMixedTypes="0" containsNonDate="0" containsString="0"/>
    </cacheField>
    <cacheField name="[Calendar].[Date Hierarchy].[Year]" caption="Year" numFmtId="0" hierarchy="9" level="1">
      <sharedItems containsSemiMixedTypes="0" containsNonDate="0" containsString="0"/>
    </cacheField>
    <cacheField name="[Calendar].[Date Hierarchy].[Month]" caption="Month" numFmtId="0" hierarchy="9" level="2">
      <sharedItems containsSemiMixedTypes="0" containsNonDate="0" containsString="0"/>
    </cacheField>
    <cacheField name="[Calendar].[Date Hierarchy].[DateColumn]" caption="DateColumn" numFmtId="0" hierarchy="9" level="3">
      <sharedItems containsSemiMixedTypes="0" containsNonDate="0" containsString="0"/>
    </cacheField>
  </cacheFields>
  <cacheHierarchies count="26">
    <cacheHierarchy uniqueName="[_Master].[Series]" caption="Series" attribute="1" defaultMemberUniqueName="[_Master].[Series].[All]" allUniqueName="[_Master].[Series].[All]" dimensionUniqueName="[_Master]" displayFolder="" count="2" memberValueDatatype="20" unbalanced="0"/>
    <cacheHierarchy uniqueName="[_Master].[States/FGN]" caption="States/FGN" attribute="1" defaultMemberUniqueName="[_Master].[States/FGN].[All]" allUniqueName="[_Master].[States/FGN].[All]" dimensionUniqueName="[_Master]" displayFolder="" count="2" memberValueDatatype="130" unbalanced="0">
      <fieldsUsage count="2">
        <fieldUsage x="-1"/>
        <fieldUsage x="2"/>
      </fieldsUsage>
    </cacheHierarchy>
    <cacheHierarchy uniqueName="[_Multilateral_Debt].[Date]" caption="Date" attribute="1" time="1" defaultMemberUniqueName="[_Multilateral_Debt].[Date].[All]" allUniqueName="[_Multilateral_Debt].[Date].[All]" dimensionUniqueName="[_Multilateral_Debt]" displayFolder="" count="2" memberValueDatatype="7" unbalanced="0"/>
    <cacheHierarchy uniqueName="[_Multilateral_Debt].[Total Debt Each Year]" caption="Total Debt Each Year" attribute="1" defaultMemberUniqueName="[_Multilateral_Debt].[Total Debt Each Year].[All]" allUniqueName="[_Multilateral_Debt].[Total Debt Each Year].[All]" dimensionUniqueName="[_Multilateral_Debt]" displayFolder="" count="2" memberValueDatatype="130" unbalanced="0"/>
    <cacheHierarchy uniqueName="[_Multilateral_Debt].[Total Sum Of Debt]" caption="Total Sum Of Debt" attribute="1" defaultMemberUniqueName="[_Multilateral_Debt].[Total Sum Of Debt].[All]" allUniqueName="[_Multilateral_Debt].[Total Sum Of Debt].[All]" dimensionUniqueName="[_Multilateral_Debt]" displayFolder="" count="2" memberValueDatatype="5" unbalanced="0"/>
    <cacheHierarchy uniqueName="[_Total_Debt].[Date]" caption="Date" attribute="1" time="1" defaultMemberUniqueName="[_Total_Debt].[Date].[All]" allUniqueName="[_Total_Debt].[Date].[All]" dimensionUniqueName="[_Total_Debt]" displayFolder="" count="2" memberValueDatatype="7" unbalanced="0"/>
    <cacheHierarchy uniqueName="[_Total_Debt].[Total Debt Each Year]" caption="Total Debt Each Year" attribute="1" defaultMemberUniqueName="[_Total_Debt].[Total Debt Each Year].[All]" allUniqueName="[_Total_Debt].[Total Debt Each Year].[All]" dimensionUniqueName="[_Total_Debt]" displayFolder="" count="2" memberValueDatatype="130" unbalanced="0">
      <fieldsUsage count="2">
        <fieldUsage x="-1"/>
        <fieldUsage x="3"/>
      </fieldsUsage>
    </cacheHierarchy>
    <cacheHierarchy uniqueName="[_Total_Debt].[Total Sum Of Debt]" caption="Total Sum Of Debt" attribute="1" defaultMemberUniqueName="[_Total_Debt].[Total Sum Of Debt].[All]" allUniqueName="[_Total_Debt].[Total Sum Of Debt].[All]" dimensionUniqueName="[_Total_Debt]" displayFolder="" count="2" memberValueDatatype="5" unbalanced="0"/>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Measures].[Current Year Debt]" caption="Current Year Debt" measure="1" displayFolder="" measureGroup="_Total_Debt" count="0" oneField="1">
      <fieldsUsage count="1">
        <fieldUsage x="0"/>
      </fieldsUsage>
    </cacheHierarchy>
    <cacheHierarchy uniqueName="[Measures].[Previous Year Debt]" caption="Previous Year Debt" measure="1" displayFolder="" measureGroup="_Total_Debt" count="0" oneField="1">
      <fieldsUsage count="1">
        <fieldUsage x="1"/>
      </fieldsUsage>
    </cacheHierarchy>
    <cacheHierarchy uniqueName="[Measures].[Multilateral Debt]" caption="Multilateral Debt" measure="1" displayFolder="" measureGroup="_Multilateral_Debt" count="0"/>
    <cacheHierarchy uniqueName="[Measures].[YOY]" caption="YOY" measure="1" displayFolder="" measureGroup="_Total_Debt" count="0"/>
    <cacheHierarchy uniqueName="[Measures].[Multilateral Debt Variance]" caption="Multilateral Debt Variance" measure="1" displayFolder="" measureGroup="_Total_Debt" count="0"/>
    <cacheHierarchy uniqueName="[Measures].[__XL_Count _Total_Debt]" caption="__XL_Count _Total_Debt" measure="1" displayFolder="" measureGroup="_Total_Debt" count="0" hidden="1"/>
    <cacheHierarchy uniqueName="[Measures].[__XL_Count _Multilateral_Debt]" caption="__XL_Count _Multilateral_Debt" measure="1" displayFolder="" measureGroup="_Multilateral_Debt" count="0" hidden="1"/>
    <cacheHierarchy uniqueName="[Measures].[__XL_Count _Master]" caption="__XL_Count _Master" measure="1" displayFolder="" measureGroup="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5">
    <dimension name="_Master" uniqueName="[_Master]" caption="_Master"/>
    <dimension name="_Multilateral_Debt" uniqueName="[_Multilateral_Debt]" caption="_Multilateral_Debt"/>
    <dimension name="_Total_Debt" uniqueName="[_Total_Debt]" caption="_Total_Debt"/>
    <dimension name="Calendar" uniqueName="[Calendar]" caption="Calendar"/>
    <dimension measure="1" name="Measures" uniqueName="[Measures]" caption="Measures"/>
  </dimensions>
  <measureGroups count="4">
    <measureGroup name="_Master" caption="_Master"/>
    <measureGroup name="_Multilateral_Debt" caption="_Multilateral_Debt"/>
    <measureGroup name="_Total_Debt" caption="_Total_Debt"/>
    <measureGroup name="Calendar" caption="Calendar"/>
  </measureGroups>
  <maps count="8">
    <map measureGroup="0" dimension="0"/>
    <map measureGroup="1" dimension="0"/>
    <map measureGroup="1" dimension="1"/>
    <map measureGroup="1" dimension="3"/>
    <map measureGroup="2" dimension="0"/>
    <map measureGroup="2" dimension="2"/>
    <map measureGroup="2" dimension="3"/>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388.984768287039" createdVersion="3" refreshedVersion="6" minRefreshableVersion="3" recordCount="0" supportSubquery="1" supportAdvancedDrill="1" xr:uid="{72B435BF-A78C-401D-B0D5-3E21150A5E78}">
  <cacheSource type="external" connectionId="2">
    <extLst>
      <ext xmlns:x14="http://schemas.microsoft.com/office/spreadsheetml/2009/9/main" uri="{F057638F-6D5F-4e77-A914-E7F072B9BCA8}">
        <x14:sourceConnection name="ThisWorkbookDataModel"/>
      </ext>
    </extLst>
  </cacheSource>
  <cacheFields count="0"/>
  <cacheHierarchies count="26">
    <cacheHierarchy uniqueName="[_Master].[Series]" caption="Series" attribute="1" defaultMemberUniqueName="[_Master].[Series].[All]" allUniqueName="[_Master].[Series].[All]" dimensionUniqueName="[_Master]" displayFolder="" count="0" memberValueDatatype="20" unbalanced="0"/>
    <cacheHierarchy uniqueName="[_Master].[States/FGN]" caption="States/FGN" attribute="1" defaultMemberUniqueName="[_Master].[States/FGN].[All]" allUniqueName="[_Master].[States/FGN].[All]" dimensionUniqueName="[_Master]" displayFolder="" count="2" memberValueDatatype="130" unbalanced="0"/>
    <cacheHierarchy uniqueName="[_Multilateral_Debt].[Date]" caption="Date" attribute="1" time="1" defaultMemberUniqueName="[_Multilateral_Debt].[Date].[All]" allUniqueName="[_Multilateral_Debt].[Date].[All]" dimensionUniqueName="[_Multilateral_Debt]" displayFolder="" count="0" memberValueDatatype="7" unbalanced="0"/>
    <cacheHierarchy uniqueName="[_Multilateral_Debt].[Total Debt Each Year]" caption="Total Debt Each Year" attribute="1" defaultMemberUniqueName="[_Multilateral_Debt].[Total Debt Each Year].[All]" allUniqueName="[_Multilateral_Debt].[Total Debt Each Year].[All]" dimensionUniqueName="[_Multilateral_Debt]" displayFolder="" count="0" memberValueDatatype="130" unbalanced="0"/>
    <cacheHierarchy uniqueName="[_Multilateral_Debt].[Total Sum Of Debt]" caption="Total Sum Of Debt" attribute="1" defaultMemberUniqueName="[_Multilateral_Debt].[Total Sum Of Debt].[All]" allUniqueName="[_Multilateral_Debt].[Total Sum Of Debt].[All]" dimensionUniqueName="[_Multilateral_Debt]" displayFolder="" count="0" memberValueDatatype="5" unbalanced="0"/>
    <cacheHierarchy uniqueName="[_Total_Debt].[Date]" caption="Date" attribute="1" time="1" defaultMemberUniqueName="[_Total_Debt].[Date].[All]" allUniqueName="[_Total_Debt].[Date].[All]" dimensionUniqueName="[_Total_Debt]" displayFolder="" count="0" memberValueDatatype="7" unbalanced="0"/>
    <cacheHierarchy uniqueName="[_Total_Debt].[Total Debt Each Year]" caption="Total Debt Each Year" attribute="1" defaultMemberUniqueName="[_Total_Debt].[Total Debt Each Year].[All]" allUniqueName="[_Total_Debt].[Total Debt Each Year].[All]" dimensionUniqueName="[_Total_Debt]" displayFolder="" count="2" memberValueDatatype="130" unbalanced="0"/>
    <cacheHierarchy uniqueName="[_Total_Debt].[Total Sum Of Debt]" caption="Total Sum Of Debt" attribute="1" defaultMemberUniqueName="[_Total_Debt].[Total Sum Of Debt].[All]" allUniqueName="[_Total_Debt].[Total Sum Of Debt].[All]" dimensionUniqueName="[_Total_Debt]" displayFolder="" count="0" memberValueDatatype="5"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easures].[Current Year Debt]" caption="Current Year Debt" measure="1" displayFolder="" measureGroup="_Total_Debt" count="0"/>
    <cacheHierarchy uniqueName="[Measures].[Previous Year Debt]" caption="Previous Year Debt" measure="1" displayFolder="" measureGroup="_Total_Debt" count="0"/>
    <cacheHierarchy uniqueName="[Measures].[Multilateral Debt]" caption="Multilateral Debt" measure="1" displayFolder="" measureGroup="_Multilateral_Debt" count="0"/>
    <cacheHierarchy uniqueName="[Measures].[YOY]" caption="YOY" measure="1" displayFolder="" measureGroup="_Total_Debt" count="0"/>
    <cacheHierarchy uniqueName="[Measures].[Multilateral Debt Variance]" caption="Multilateral Debt Variance" measure="1" displayFolder="" measureGroup="_Total_Debt" count="0"/>
    <cacheHierarchy uniqueName="[Measures].[__XL_Count _Total_Debt]" caption="__XL_Count _Total_Debt" measure="1" displayFolder="" measureGroup="_Total_Debt" count="0" hidden="1"/>
    <cacheHierarchy uniqueName="[Measures].[__XL_Count _Multilateral_Debt]" caption="__XL_Count _Multilateral_Debt" measure="1" displayFolder="" measureGroup="_Multilateral_Debt" count="0" hidden="1"/>
    <cacheHierarchy uniqueName="[Measures].[__XL_Count _Master]" caption="__XL_Count _Master" measure="1" displayFolder="" measureGroup="_Master"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4808767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735598-76DA-4342-89CB-B1E597BEDD56}" name="_ByMonth" cacheId="70" applyNumberFormats="0" applyBorderFormats="0" applyFontFormats="0" applyPatternFormats="0" applyAlignmentFormats="0" applyWidthHeightFormats="1" dataCaption="Values" tag="61cd64a1-6b75-402e-bfc4-0172521900a7" updatedVersion="7" minRefreshableVersion="3" useAutoFormatting="1" subtotalHiddenItems="1" itemPrintTitles="1" createdVersion="5" indent="0" outline="1" outlineData="1" multipleFieldFilters="0" chartFormat="13" rowHeaderCaption="Month">
  <location ref="A9:C20" firstHeaderRow="0" firstDataRow="1" firstDataCol="1"/>
  <pivotFields count="8">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 allDrilled="1" subtotalTop="0" showAll="0" dataSourceSort="1" defaultSubtotal="0" defaultAttributeDrillState="1"/>
  </pivotFields>
  <rowFields count="1">
    <field x="5"/>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4" subtotal="count" baseField="0" baseItem="0"/>
  </dataFields>
  <formats count="1">
    <format dxfId="119">
      <pivotArea outline="0" collapsedLevelsAreSubtotals="1" fieldPosition="0"/>
    </format>
  </formats>
  <chartFormats count="1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5" format="6">
      <pivotArea type="data" outline="0" fieldPosition="0">
        <references count="2">
          <reference field="4294967294" count="1" selected="0">
            <x v="1"/>
          </reference>
          <reference field="5" count="1" selected="0">
            <x v="4"/>
          </reference>
        </references>
      </pivotArea>
    </chartFormat>
    <chartFormat chart="5" format="7">
      <pivotArea type="data" outline="0" fieldPosition="0">
        <references count="2">
          <reference field="4294967294" count="1" selected="0">
            <x v="1"/>
          </reference>
          <reference field="5" count="1" selected="0">
            <x v="2"/>
          </reference>
        </references>
      </pivotArea>
    </chartFormat>
    <chartFormat chart="5" format="8">
      <pivotArea type="data" outline="0" fieldPosition="0">
        <references count="2">
          <reference field="4294967294" count="1" selected="0">
            <x v="0"/>
          </reference>
          <reference field="5" count="1" selected="0">
            <x v="3"/>
          </reference>
        </references>
      </pivotArea>
    </chartFormat>
    <chartFormat chart="5" format="9">
      <pivotArea type="data" outline="0" fieldPosition="0">
        <references count="2">
          <reference field="4294967294" count="1" selected="0">
            <x v="1"/>
          </reference>
          <reference field="5" count="1" selected="0">
            <x v="3"/>
          </reference>
        </references>
      </pivotArea>
    </chartFormat>
    <chartFormat chart="5" format="10">
      <pivotArea type="data" outline="0" fieldPosition="0">
        <references count="2">
          <reference field="4294967294" count="1" selected="0">
            <x v="0"/>
          </reference>
          <reference field="5" count="1" selected="0">
            <x v="1"/>
          </reference>
        </references>
      </pivotArea>
    </chartFormat>
    <chartFormat chart="5" format="11">
      <pivotArea type="data" outline="0" fieldPosition="0">
        <references count="2">
          <reference field="4294967294" count="1" selected="0">
            <x v="1"/>
          </reference>
          <reference field="5" count="1" selected="0">
            <x v="1"/>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26">
    <pivotHierarchy dragToData="1"/>
    <pivotHierarchy multipleItemSelectionAllowed="1" dragToData="1">
      <members count="1" level="1">
        <member name="[_Master].[States/FGN].&amp;[Ondo]"/>
      </members>
    </pivotHierarchy>
    <pivotHierarchy dragToData="1"/>
    <pivotHierarchy dragToData="1"/>
    <pivotHierarchy dragToData="1"/>
    <pivotHierarchy dragToData="1"/>
    <pivotHierarchy multipleItemSelectionAllowed="1" dragToData="1">
      <members count="1" level="1">
        <member name="[_Total_Debt].[Total Debt Each Year].&amp;[Benue]"/>
      </members>
    </pivotHierarchy>
    <pivotHierarchy dragToData="1"/>
    <pivotHierarchy dragToData="1"/>
    <pivotHierarchy multipleItemSelectionAllowed="1">
      <members count="1" level="1">
        <member name="[Calendar].[Date Hierarchy].[Year].&amp;[2018]"/>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4"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_Total_Debt]"/>
        <x15:activeTabTopLevelEntity name="[Calendar]"/>
        <x15:activeTabTopLevelEntity name="[_Multilateral_Deb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E482DE-6344-4FE5-8555-A3279FFA062D}" name="_StatesVsCurrYearDebtVsMultilateDebt" cacheId="112" applyNumberFormats="0" applyBorderFormats="0" applyFontFormats="0" applyPatternFormats="0" applyAlignmentFormats="0" applyWidthHeightFormats="1" dataCaption="Values" tag="d1d0de4d-b12f-48af-85c5-86ca136cea70" updatedVersion="7" minRefreshableVersion="3" useAutoFormatting="1" subtotalHiddenItems="1" itemPrintTitles="1" createdVersion="5" indent="0" outline="1" outlineData="1" multipleFieldFilters="0" rowHeaderCaption="States">
  <location ref="J2:L4" firstHeaderRow="0" firstDataRow="1" firstDataCol="1"/>
  <pivotFields count="7">
    <pivotField dataField="1" subtotalTop="0" showAll="0" defaultSubtotal="0"/>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2">
    <i>
      <x/>
    </i>
    <i t="grand">
      <x/>
    </i>
  </rowItems>
  <colFields count="1">
    <field x="-2"/>
  </colFields>
  <colItems count="2">
    <i>
      <x/>
    </i>
    <i i="1">
      <x v="1"/>
    </i>
  </colItems>
  <dataFields count="2">
    <dataField fld="0" subtotal="count" baseField="0" baseItem="0"/>
    <dataField fld="1" subtotal="count" baseField="0" baseItem="0"/>
  </dataFields>
  <formats count="2">
    <format dxfId="121">
      <pivotArea outline="0" collapsedLevelsAreSubtotals="1" fieldPosition="0"/>
    </format>
    <format dxfId="120">
      <pivotArea dataOnly="0" labelOnly="1" outline="0" fieldPosition="0">
        <references count="1">
          <reference field="4294967294" count="2">
            <x v="0"/>
            <x v="1"/>
          </reference>
        </references>
      </pivotArea>
    </format>
  </formats>
  <pivotHierarchies count="26">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_Total_Debt].[Total Debt Each Year].&amp;[Benue]"/>
      </members>
    </pivotHierarchy>
    <pivotHierarchy dragToData="1"/>
    <pivotHierarchy dragToData="1"/>
    <pivotHierarchy multipleItemSelectionAllowed="1">
      <members count="1" level="1">
        <member name="[Calendar].[Date Hierarchy].[Year].&amp;[2018]"/>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Dark7"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_Total_Debt]"/>
        <x15:activeTabTopLevelEntity name="[Calendar]"/>
        <x15:activeTabTopLevelEntity name="[_Multilateral_Debt]"/>
        <x15:activeTabTopLevelEntity name="[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E237A7-3B74-4D15-8A19-D16AA0A29D06}" name="_StatevsCurrYearDebtVsPreviousYearDebt" cacheId="115" applyNumberFormats="0" applyBorderFormats="0" applyFontFormats="0" applyPatternFormats="0" applyAlignmentFormats="0" applyWidthHeightFormats="1" dataCaption="Values" tag="a5b00dd8-f944-432a-aac2-3f74595c37bc" updatedVersion="7" minRefreshableVersion="3" useAutoFormatting="1" subtotalHiddenItems="1" itemPrintTitles="1" createdVersion="5" indent="0" outline="1" outlineData="1" multipleFieldFilters="0" chartFormat="29" rowHeaderCaption="States">
  <location ref="F2:H4" firstHeaderRow="0" firstDataRow="1" firstDataCol="1"/>
  <pivotFields count="7">
    <pivotField dataField="1" subtotalTop="0" showAll="0" defaultSubtotal="0"/>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s>
  <rowFields count="1">
    <field x="2"/>
  </rowFields>
  <rowItems count="2">
    <i>
      <x/>
    </i>
    <i t="grand">
      <x/>
    </i>
  </rowItems>
  <colFields count="1">
    <field x="-2"/>
  </colFields>
  <colItems count="2">
    <i>
      <x/>
    </i>
    <i i="1">
      <x v="1"/>
    </i>
  </colItems>
  <dataFields count="2">
    <dataField fld="0" subtotal="count" baseField="0" baseItem="0"/>
    <dataField fld="1" subtotal="count" baseField="0" baseItem="0"/>
  </dataFields>
  <formats count="6">
    <format dxfId="127">
      <pivotArea type="all" dataOnly="0" outline="0" fieldPosition="0"/>
    </format>
    <format dxfId="126">
      <pivotArea outline="0" collapsedLevelsAreSubtotals="1" fieldPosition="0"/>
    </format>
    <format dxfId="125">
      <pivotArea field="2" type="button" dataOnly="0" labelOnly="1" outline="0" axis="axisRow" fieldPosition="0"/>
    </format>
    <format dxfId="124">
      <pivotArea dataOnly="0" labelOnly="1" fieldPosition="0">
        <references count="1">
          <reference field="2" count="0"/>
        </references>
      </pivotArea>
    </format>
    <format dxfId="123">
      <pivotArea dataOnly="0" labelOnly="1" grandRow="1" outline="0" fieldPosition="0"/>
    </format>
    <format dxfId="122">
      <pivotArea dataOnly="0" labelOnly="1" outline="0" fieldPosition="0">
        <references count="1">
          <reference field="4294967294" count="2">
            <x v="0"/>
            <x v="1"/>
          </reference>
        </references>
      </pivotArea>
    </format>
  </formats>
  <pivotHierarchies count="26">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_Total_Debt].[Total Debt Each Year].&amp;[Benue]"/>
      </members>
    </pivotHierarchy>
    <pivotHierarchy dragToData="1"/>
    <pivotHierarchy dragToData="1"/>
    <pivotHierarchy multipleItemSelectionAllowed="1">
      <members count="1" level="1">
        <member name="[Calendar].[Date Hierarchy].[Year].&amp;[2018]"/>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8"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_Total_Debt]"/>
        <x15:activeTabTopLevelEntity name="[Calendar]"/>
        <x15:activeTabTopLevelEntity name="[_Multilateral_Debt]"/>
        <x15:activeTabTopLevelEntity name="[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716223-8858-4A84-8C9B-9F4726876312}" name="_firstMeasure" cacheId="109" dataOnRows="1" applyNumberFormats="0" applyBorderFormats="0" applyFontFormats="0" applyPatternFormats="0" applyAlignmentFormats="0" applyWidthHeightFormats="1" dataCaption="Values" tag="79fa2356-77b7-478a-8fd2-6100d356d796" updatedVersion="7" minRefreshableVersion="3" useAutoFormatting="1" subtotalHiddenItems="1" itemPrintTitles="1" createdVersion="5" indent="0" outline="1" outlineData="1" multipleFieldFilters="0">
  <location ref="A2:B7" firstHeaderRow="1" firstDataRow="1" firstDataCol="1"/>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2"/>
  </rowFields>
  <rowItems count="5">
    <i>
      <x/>
    </i>
    <i i="1">
      <x v="1"/>
    </i>
    <i i="2">
      <x v="2"/>
    </i>
    <i i="3">
      <x v="3"/>
    </i>
    <i i="4">
      <x v="4"/>
    </i>
  </rowItems>
  <colItems count="1">
    <i/>
  </colItems>
  <dataFields count="5">
    <dataField fld="0" subtotal="count" baseField="0" baseItem="0"/>
    <dataField fld="1" subtotal="count" baseField="0" baseItem="0"/>
    <dataField fld="3" subtotal="count" baseField="0" baseItem="0"/>
    <dataField fld="4" subtotal="count" baseField="0" baseItem="0"/>
    <dataField fld="2" subtotal="count" baseField="0" baseItem="0"/>
  </dataFields>
  <formats count="1">
    <format dxfId="128">
      <pivotArea collapsedLevelsAreSubtotals="1" fieldPosition="0">
        <references count="1">
          <reference field="4294967294" count="3">
            <x v="0"/>
            <x v="1"/>
            <x v="2"/>
          </reference>
        </references>
      </pivotArea>
    </format>
  </formats>
  <pivotHierarchies count="26">
    <pivotHierarchy dragToData="1"/>
    <pivotHierarchy multipleItemSelectionAllowed="1" dragToData="1">
      <members count="1" level="1">
        <member name="[_Master].[States/FGN].&amp;[Adamawa]"/>
      </members>
    </pivotHierarchy>
    <pivotHierarchy dragToData="1"/>
    <pivotHierarchy dragToData="1"/>
    <pivotHierarchy dragToData="1"/>
    <pivotHierarchy dragToData="1"/>
    <pivotHierarchy multipleItemSelectionAllowed="1" dragToData="1">
      <members count="1" level="1">
        <member name="[_Total_Debt].[Total Debt Each Year].&amp;[Benue]"/>
      </members>
    </pivotHierarchy>
    <pivotHierarchy dragToData="1"/>
    <pivotHierarchy dragToData="1"/>
    <pivotHierarchy multipleItemSelectionAllowed="1">
      <members count="1" level="1">
        <member name="[Calendar].[Date Hierarchy].[Year].&amp;[2018]"/>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8"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_Total_Debt]"/>
        <x15:activeTabTopLevelEntity name="[Calendar]"/>
        <x15:activeTabTopLevelEntity name="[_Multilateral_Deb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66FFE92E-6E0C-44C0-A25C-1537B1517166}" sourceName="[Calendar].[Date Hierarchy]">
  <pivotTables>
    <pivotTable tabId="5" name="_firstMeasure"/>
    <pivotTable tabId="5" name="_StatevsCurrYearDebtVsPreviousYearDebt"/>
    <pivotTable tabId="5" name="_StatesVsCurrYearDebtVsMultilateDebt"/>
    <pivotTable tabId="5" name="_ByMonth"/>
  </pivotTables>
  <data>
    <olap pivotCacheId="1048087677">
      <levels count="4">
        <level uniqueName="[Calendar].[Date Hierarchy].[(All)]" sourceCaption="(All)" count="0"/>
        <level uniqueName="[Calendar].[Date Hierarchy].[Year]" sourceCaption="Year" count="6">
          <ranges>
            <range startItem="0">
              <i n="[Calendar].[Date Hierarchy].[Year].&amp;[2015]" c="2015"/>
              <i n="[Calendar].[Date Hierarchy].[Year].&amp;[2016]" c="2016"/>
              <i n="[Calendar].[Date Hierarchy].[Year].&amp;[2017]" c="2017"/>
              <i n="[Calendar].[Date Hierarchy].[Year].&amp;[2018]" c="2018"/>
              <i n="[Calendar].[Date Hierarchy].[Year].&amp;[2019]" c="2019"/>
              <i n="[Calendar].[Date Hierarchy].[Year].&amp;[2020]" c="2020"/>
            </range>
          </ranges>
        </level>
        <level uniqueName="[Calendar].[Date Hierarchy].[Month]" sourceCaption="Month" count="0"/>
        <level uniqueName="[Calendar].[Date Hierarchy].[DateColumn]" sourceCaption="DateColumn" count="0"/>
      </levels>
      <selections count="1">
        <selection n="[Calendar].[Date Hierarchy].[Year].&amp;[201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_FGN" xr10:uid="{A316A78E-BF94-447E-AB55-D62210D6BFD0}" sourceName="[_Master].[States/FGN]">
  <pivotTables>
    <pivotTable tabId="5" name="_firstMeasure"/>
    <pivotTable tabId="5" name="_StatesVsCurrYearDebtVsMultilateDebt"/>
    <pivotTable tabId="5" name="_StatevsCurrYearDebtVsPreviousYearDebt"/>
  </pivotTables>
  <data>
    <olap pivotCacheId="1048087677">
      <levels count="2">
        <level uniqueName="[_Master].[States/FGN].[(All)]" sourceCaption="(All)" count="0"/>
        <level uniqueName="[_Master].[States/FGN].[States/FGN]" sourceCaption="States/FGN" count="38">
          <ranges>
            <range startItem="0">
              <i n="[_Master].[States/FGN].&amp;[Abia]" c="Abia"/>
              <i n="[_Master].[States/FGN].&amp;[Adamawa]" c="Adamawa"/>
              <i n="[_Master].[States/FGN].&amp;[Akwa Ibom]" c="Akwa Ibom"/>
              <i n="[_Master].[States/FGN].&amp;[Anambra]" c="Anambra"/>
              <i n="[_Master].[States/FGN].&amp;[Bauchi]" c="Bauchi"/>
              <i n="[_Master].[States/FGN].&amp;[Bayelsa]" c="Bayelsa"/>
              <i n="[_Master].[States/FGN].&amp;[Benue]" c="Benue"/>
              <i n="[_Master].[States/FGN].&amp;[Borno]" c="Borno"/>
              <i n="[_Master].[States/FGN].&amp;[Cross River]" c="Cross River"/>
              <i n="[_Master].[States/FGN].&amp;[Delta]" c="Delta"/>
              <i n="[_Master].[States/FGN].&amp;[Ebonyi]" c="Ebonyi"/>
              <i n="[_Master].[States/FGN].&amp;[Edo]" c="Edo"/>
              <i n="[_Master].[States/FGN].&amp;[Ekiti]" c="Ekiti"/>
              <i n="[_Master].[States/FGN].&amp;[Enugu]" c="Enugu"/>
              <i n="[_Master].[States/FGN].&amp;[FCT]" c="FCT"/>
              <i n="[_Master].[States/FGN].&amp;[FGN]" c="FGN"/>
              <i n="[_Master].[States/FGN].&amp;[Gombe]" c="Gombe"/>
              <i n="[_Master].[States/FGN].&amp;[Imo]" c="Imo"/>
              <i n="[_Master].[States/FGN].&amp;[Jigawa]" c="Jigawa"/>
              <i n="[_Master].[States/FGN].&amp;[Kaduna]" c="Kaduna"/>
              <i n="[_Master].[States/FGN].&amp;[Kano]" c="Kano"/>
              <i n="[_Master].[States/FGN].&amp;[Katsina]" c="Katsina"/>
              <i n="[_Master].[States/FGN].&amp;[Kebbi]" c="Kebbi"/>
              <i n="[_Master].[States/FGN].&amp;[Kogi]" c="Kogi"/>
              <i n="[_Master].[States/FGN].&amp;[Kwara]" c="Kwara"/>
              <i n="[_Master].[States/FGN].&amp;[Lagos]" c="Lagos"/>
              <i n="[_Master].[States/FGN].&amp;[Nassarawa]" c="Nassarawa"/>
              <i n="[_Master].[States/FGN].&amp;[Niger]" c="Niger"/>
              <i n="[_Master].[States/FGN].&amp;[Ogun]" c="Ogun"/>
              <i n="[_Master].[States/FGN].&amp;[Ondo]" c="Ondo"/>
              <i n="[_Master].[States/FGN].&amp;[Osun]" c="Osun"/>
              <i n="[_Master].[States/FGN].&amp;[Oyo]" c="Oyo"/>
              <i n="[_Master].[States/FGN].&amp;[Plateau]" c="Plateau"/>
              <i n="[_Master].[States/FGN].&amp;[Rivers]" c="Rivers"/>
              <i n="[_Master].[States/FGN].&amp;[Sokoto]" c="Sokoto"/>
              <i n="[_Master].[States/FGN].&amp;[Taraba]" c="Taraba"/>
              <i n="[_Master].[States/FGN].&amp;[Yobe]" c="Yobe"/>
              <i n="[_Master].[States/FGN].&amp;[Zamfara]" c="Zamfara"/>
            </range>
          </ranges>
        </level>
      </levels>
      <selections count="1">
        <selection n="[_Master].[States/FGN].&amp;[Adamaw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A488B8F-125C-4E22-A7BD-EEFAB72AB7FD}" cache="Slicer_Date_Hierarchy" caption="Year" startItem="1" level="1" style="SlicerStyleLight6" rowHeight="241300"/>
  <slicer name="States/FGN" xr10:uid="{5D5ADEB3-6B79-4E86-898D-B15750BDBE4E}" cache="Slicer_States_FGN" caption="States/FGN" columnCount="3" level="1"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519B2E1-DC19-4680-8739-3EA69B0FC111}" cache="Slicer_Date_Hierarchy" caption="Year" showCaption="0" level="1" style="SlicerStyleOther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3AA338-C026-4BE8-8405-507B7FE8DDA1}" name="_Total_Debt" displayName="_Total_Debt" ref="A1:C229" totalsRowShown="0" headerRowDxfId="118" tableBorderDxfId="117">
  <autoFilter ref="A1:C229" xr:uid="{2BEA8184-CD85-44F5-B425-CAA666A1A90E}"/>
  <tableColumns count="3">
    <tableColumn id="1" xr3:uid="{E8FB5828-B66E-4334-9622-0CDE71C53AA6}" name="Date" dataDxfId="116"/>
    <tableColumn id="2" xr3:uid="{146B9DB6-BB41-45A8-9F96-D64476F19610}" name="Total Debt Each Year" dataDxfId="115"/>
    <tableColumn id="3" xr3:uid="{DC0E8B65-4964-4E70-B2F1-E4A789167939}" name="Total Sum Of Debt" dataDxfId="1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8E3CB0-0082-4598-99D8-AD068FBB7A0C}" name="_Multilateral_Debt" displayName="_Multilateral_Debt" ref="A1:C229" totalsRowShown="0" headerRowDxfId="113" tableBorderDxfId="112">
  <autoFilter ref="A1:C229" xr:uid="{C13CA816-D3DD-469A-8E02-16D781456751}"/>
  <tableColumns count="3">
    <tableColumn id="1" xr3:uid="{8330C16C-5A31-49B9-81FD-723B601B3A26}" name="Date" dataDxfId="111"/>
    <tableColumn id="2" xr3:uid="{AC3E2389-DABB-4C2B-80D0-1D9795216EB4}" name="Total Debt Each Year" dataDxfId="110"/>
    <tableColumn id="3" xr3:uid="{CF122601-3F7F-41A1-830F-71ED528F7BA4}" name="Total Sum Of Debt" dataDxfId="10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CBC180-92A8-4A41-A1ED-41CD7C06E35A}" name="_Master" displayName="_Master" ref="A1:B39" totalsRowShown="0">
  <autoFilter ref="A1:B39" xr:uid="{83C7959C-13A6-4DFF-9085-AFDCA79DBB37}"/>
  <tableColumns count="2">
    <tableColumn id="1" xr3:uid="{DA3040C9-7D41-416F-A9A6-44C50BD1D51A}" name="Series"/>
    <tableColumn id="2" xr3:uid="{44BDAFDA-4603-42B2-B085-FBE445EAC22B}" name="States/FG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BE161-632F-43D1-A8A7-B5A6436A1B36}">
  <sheetPr codeName="Sheet3"/>
  <dimension ref="A1"/>
  <sheetViews>
    <sheetView workbookViewId="0">
      <selection activeCell="F5" sqref="F5"/>
    </sheetView>
  </sheetViews>
  <sheetFormatPr defaultRowHeight="15" x14ac:dyDescent="0.25"/>
  <cols>
    <col min="1" max="16384" width="9.140625" style="19"/>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CE9D7-76D8-4532-84C0-CE9A37653F9A}">
  <sheetPr codeName="Sheet11"/>
  <dimension ref="P3:Z19"/>
  <sheetViews>
    <sheetView showGridLines="0" tabSelected="1" zoomScale="80" zoomScaleNormal="80" workbookViewId="0">
      <selection activeCell="P13" sqref="P13"/>
    </sheetView>
  </sheetViews>
  <sheetFormatPr defaultRowHeight="15" x14ac:dyDescent="0.25"/>
  <sheetData>
    <row r="3" spans="23:26" x14ac:dyDescent="0.25">
      <c r="W3" s="20" t="s">
        <v>64</v>
      </c>
      <c r="X3" s="21"/>
      <c r="Y3" s="21"/>
      <c r="Z3" s="21"/>
    </row>
    <row r="19" spans="16:16" x14ac:dyDescent="0.25">
      <c r="P19" s="18"/>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6FD6-0F62-4026-BE3F-9B7805EDD96E}">
  <sheetPr codeName="Sheet2"/>
  <dimension ref="A1:L20"/>
  <sheetViews>
    <sheetView showGridLines="0" workbookViewId="0">
      <selection activeCell="A22" sqref="A22"/>
    </sheetView>
  </sheetViews>
  <sheetFormatPr defaultRowHeight="15" x14ac:dyDescent="0.25"/>
  <cols>
    <col min="1" max="1" width="24.7109375" bestFit="1" customWidth="1"/>
    <col min="2" max="2" width="8.28515625" bestFit="1" customWidth="1"/>
    <col min="3" max="3" width="16.42578125" bestFit="1" customWidth="1"/>
    <col min="4" max="4" width="13.140625" bestFit="1" customWidth="1"/>
    <col min="5" max="6" width="11.140625" bestFit="1" customWidth="1"/>
    <col min="7" max="7" width="16.85546875" bestFit="1" customWidth="1"/>
    <col min="8" max="8" width="18" bestFit="1" customWidth="1"/>
    <col min="9" max="10" width="11.28515625" bestFit="1" customWidth="1"/>
    <col min="11" max="11" width="17" bestFit="1" customWidth="1"/>
    <col min="12" max="12" width="16.42578125" bestFit="1" customWidth="1"/>
  </cols>
  <sheetData>
    <row r="1" spans="1:12" x14ac:dyDescent="0.25">
      <c r="D1" s="16" t="s">
        <v>58</v>
      </c>
      <c r="E1" s="17" t="s">
        <v>59</v>
      </c>
    </row>
    <row r="2" spans="1:12" x14ac:dyDescent="0.25">
      <c r="A2" s="8" t="s">
        <v>49</v>
      </c>
      <c r="F2" s="12" t="s">
        <v>41</v>
      </c>
      <c r="G2" s="11" t="s">
        <v>44</v>
      </c>
      <c r="H2" s="11" t="s">
        <v>45</v>
      </c>
      <c r="J2" s="8" t="s">
        <v>41</v>
      </c>
      <c r="K2" s="11" t="s">
        <v>44</v>
      </c>
      <c r="L2" s="11" t="s">
        <v>46</v>
      </c>
    </row>
    <row r="3" spans="1:12" x14ac:dyDescent="0.25">
      <c r="A3" s="9" t="s">
        <v>44</v>
      </c>
      <c r="B3" s="11">
        <v>97790423.730000004</v>
      </c>
      <c r="F3" s="10" t="s">
        <v>4</v>
      </c>
      <c r="G3" s="11">
        <v>97790423.730000004</v>
      </c>
      <c r="H3" s="11">
        <v>94574331.400000006</v>
      </c>
      <c r="J3" s="9" t="s">
        <v>4</v>
      </c>
      <c r="K3" s="11">
        <v>97790423.730000004</v>
      </c>
      <c r="L3" s="11">
        <v>91290423.730000004</v>
      </c>
    </row>
    <row r="4" spans="1:12" x14ac:dyDescent="0.25">
      <c r="A4" s="9" t="s">
        <v>45</v>
      </c>
      <c r="B4" s="11">
        <v>94574331.400000006</v>
      </c>
      <c r="F4" s="10" t="s">
        <v>50</v>
      </c>
      <c r="G4" s="11">
        <v>97790423.730000004</v>
      </c>
      <c r="H4" s="11">
        <v>94574331.400000006</v>
      </c>
      <c r="J4" s="9" t="s">
        <v>50</v>
      </c>
      <c r="K4" s="11">
        <v>97790423.730000004</v>
      </c>
      <c r="L4" s="11">
        <v>91290423.730000004</v>
      </c>
    </row>
    <row r="5" spans="1:12" x14ac:dyDescent="0.25">
      <c r="A5" s="9" t="s">
        <v>46</v>
      </c>
      <c r="B5" s="11">
        <v>91290423.730000004</v>
      </c>
    </row>
    <row r="6" spans="1:12" x14ac:dyDescent="0.25">
      <c r="A6" s="9" t="s">
        <v>48</v>
      </c>
      <c r="B6" s="7">
        <v>7.1201334536734759E-2</v>
      </c>
      <c r="C6" s="13">
        <f>1-GETPIVOTDATA("[Measures].[Multilateral Debt Variance]",$A$1)</f>
        <v>0.92879866546326528</v>
      </c>
      <c r="D6" s="15">
        <f>IF(B6&gt;0,B6,"")</f>
        <v>7.1201334536734759E-2</v>
      </c>
      <c r="E6" t="str">
        <f>IF(B6&lt;0,B6,"")</f>
        <v/>
      </c>
    </row>
    <row r="7" spans="1:12" x14ac:dyDescent="0.25">
      <c r="A7" s="9" t="s">
        <v>47</v>
      </c>
      <c r="B7" s="7">
        <v>3.4005974796666637E-2</v>
      </c>
      <c r="C7" s="13">
        <f>1-GETPIVOTDATA("[Measures].[YOY]",$A$2)</f>
        <v>0.96599402520333333</v>
      </c>
      <c r="D7" s="15">
        <f>IF(B7&gt;0,B7,"")</f>
        <v>3.4005974796666637E-2</v>
      </c>
      <c r="E7" s="15" t="str">
        <f>IF(B7&lt;0,B7,"")</f>
        <v/>
      </c>
    </row>
    <row r="9" spans="1:12" x14ac:dyDescent="0.25">
      <c r="A9" s="8" t="s">
        <v>57</v>
      </c>
      <c r="B9" t="s">
        <v>44</v>
      </c>
      <c r="C9" t="s">
        <v>46</v>
      </c>
    </row>
    <row r="10" spans="1:12" x14ac:dyDescent="0.25">
      <c r="A10" s="9" t="s">
        <v>51</v>
      </c>
      <c r="B10" s="11">
        <v>199039123.44999999</v>
      </c>
      <c r="C10" s="11">
        <v>199039123.44999999</v>
      </c>
    </row>
    <row r="11" spans="1:12" x14ac:dyDescent="0.25">
      <c r="A11" s="9" t="s">
        <v>52</v>
      </c>
      <c r="B11" s="11">
        <v>1595362787.4400001</v>
      </c>
      <c r="C11" s="11">
        <v>1451532787.4400001</v>
      </c>
    </row>
    <row r="12" spans="1:12" x14ac:dyDescent="0.25">
      <c r="A12" s="9" t="s">
        <v>53</v>
      </c>
      <c r="B12" s="11">
        <v>625977222.48000002</v>
      </c>
      <c r="C12" s="11">
        <v>625977222.48000002</v>
      </c>
    </row>
    <row r="13" spans="1:12" x14ac:dyDescent="0.25">
      <c r="A13" s="9" t="s">
        <v>54</v>
      </c>
      <c r="B13" s="11">
        <v>351034188.19999999</v>
      </c>
      <c r="C13" s="11">
        <v>346034188.19999999</v>
      </c>
    </row>
    <row r="14" spans="1:12" x14ac:dyDescent="0.25">
      <c r="A14" s="9" t="s">
        <v>55</v>
      </c>
      <c r="B14" s="11">
        <v>323977791.42000002</v>
      </c>
      <c r="C14" s="11">
        <v>317477791.41999996</v>
      </c>
    </row>
    <row r="15" spans="1:12" x14ac:dyDescent="0.25">
      <c r="A15" s="9" t="s">
        <v>56</v>
      </c>
      <c r="B15" s="11">
        <v>216260218.88</v>
      </c>
      <c r="C15" s="11">
        <v>172360218.88</v>
      </c>
    </row>
    <row r="16" spans="1:12" x14ac:dyDescent="0.25">
      <c r="A16" s="9" t="s">
        <v>60</v>
      </c>
      <c r="B16" s="11">
        <v>21321818185.25</v>
      </c>
      <c r="C16" s="11">
        <v>7286265574.25</v>
      </c>
    </row>
    <row r="17" spans="1:3" x14ac:dyDescent="0.25">
      <c r="A17" s="9" t="s">
        <v>61</v>
      </c>
      <c r="B17" s="11">
        <v>197668205.28</v>
      </c>
      <c r="C17" s="11">
        <v>185422216.28</v>
      </c>
    </row>
    <row r="18" spans="1:3" x14ac:dyDescent="0.25">
      <c r="A18" s="9" t="s">
        <v>62</v>
      </c>
      <c r="B18" s="11">
        <v>240193876.77000001</v>
      </c>
      <c r="C18" s="11">
        <v>233693876.77000001</v>
      </c>
    </row>
    <row r="19" spans="1:3" x14ac:dyDescent="0.25">
      <c r="A19" s="9" t="s">
        <v>63</v>
      </c>
      <c r="B19" s="11">
        <v>203033200.81</v>
      </c>
      <c r="C19" s="11">
        <v>196533200.81</v>
      </c>
    </row>
    <row r="20" spans="1:3" x14ac:dyDescent="0.25">
      <c r="A20" s="9" t="s">
        <v>50</v>
      </c>
      <c r="B20" s="11">
        <v>25274364799.98</v>
      </c>
      <c r="C20" s="11">
        <v>11014336199.98</v>
      </c>
    </row>
  </sheetData>
  <conditionalFormatting sqref="K2:L2">
    <cfRule type="dataBar" priority="1">
      <dataBar>
        <cfvo type="min"/>
        <cfvo type="max"/>
        <color rgb="FF63C384"/>
      </dataBar>
      <extLst>
        <ext xmlns:x14="http://schemas.microsoft.com/office/spreadsheetml/2009/9/main" uri="{B025F937-C7B1-47D3-B67F-A62EFF666E3E}">
          <x14:id>{7F15724D-FE82-40A0-96EE-08D9D6853831}</x14:id>
        </ext>
      </extLst>
    </cfRule>
  </conditionalFormatting>
  <pageMargins left="0.7" right="0.7" top="0.75" bottom="0.75" header="0.3" footer="0.3"/>
  <pageSetup orientation="portrait" r:id="rId5"/>
  <drawing r:id="rId6"/>
  <extLst>
    <ext xmlns:x14="http://schemas.microsoft.com/office/spreadsheetml/2009/9/main" uri="{78C0D931-6437-407d-A8EE-F0AAD7539E65}">
      <x14:conditionalFormattings>
        <x14:conditionalFormatting xmlns:xm="http://schemas.microsoft.com/office/excel/2006/main">
          <x14:cfRule type="dataBar" id="{7F15724D-FE82-40A0-96EE-08D9D6853831}">
            <x14:dataBar minLength="0" maxLength="100" border="1" negativeBarBorderColorSameAsPositive="0">
              <x14:cfvo type="autoMin"/>
              <x14:cfvo type="autoMax"/>
              <x14:borderColor rgb="FF63C384"/>
              <x14:negativeFillColor rgb="FFFF0000"/>
              <x14:negativeBorderColor rgb="FFFF0000"/>
              <x14:axisColor rgb="FF000000"/>
            </x14:dataBar>
          </x14:cfRule>
          <xm:sqref>K2:L2</xm:sqref>
        </x14:conditionalFormatting>
      </x14:conditionalFormattings>
    </ex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73727-AEEB-473E-B28A-18060D7E62FC}">
  <sheetPr codeName="Sheet8"/>
  <dimension ref="A1:J229"/>
  <sheetViews>
    <sheetView workbookViewId="0">
      <selection activeCell="M4" sqref="M4"/>
    </sheetView>
  </sheetViews>
  <sheetFormatPr defaultRowHeight="15" x14ac:dyDescent="0.25"/>
  <cols>
    <col min="1" max="1" width="17.140625" customWidth="1"/>
    <col min="2" max="2" width="21.140625" customWidth="1"/>
    <col min="3" max="3" width="19.5703125" bestFit="1" customWidth="1"/>
    <col min="5" max="5" width="11" customWidth="1"/>
    <col min="7" max="7" width="9.7109375" bestFit="1" customWidth="1"/>
    <col min="10" max="10" width="14.42578125" customWidth="1"/>
  </cols>
  <sheetData>
    <row r="1" spans="1:10" x14ac:dyDescent="0.25">
      <c r="A1" s="6" t="s">
        <v>0</v>
      </c>
      <c r="B1" s="6" t="s">
        <v>1</v>
      </c>
      <c r="C1" s="6" t="s">
        <v>2</v>
      </c>
    </row>
    <row r="2" spans="1:10" x14ac:dyDescent="0.25">
      <c r="A2" s="4">
        <v>42072</v>
      </c>
      <c r="B2" s="1" t="s">
        <v>3</v>
      </c>
      <c r="C2" s="1">
        <v>41502309.090000004</v>
      </c>
    </row>
    <row r="3" spans="1:10" x14ac:dyDescent="0.25">
      <c r="A3" s="5">
        <v>42024</v>
      </c>
      <c r="B3" s="2" t="s">
        <v>4</v>
      </c>
      <c r="C3" s="2">
        <v>49056440.810000002</v>
      </c>
    </row>
    <row r="4" spans="1:10" x14ac:dyDescent="0.25">
      <c r="A4" s="4">
        <v>42263</v>
      </c>
      <c r="B4" s="1" t="s">
        <v>5</v>
      </c>
      <c r="C4" s="1">
        <v>52717441.229999997</v>
      </c>
    </row>
    <row r="5" spans="1:10" x14ac:dyDescent="0.25">
      <c r="A5" s="5">
        <v>42189</v>
      </c>
      <c r="B5" s="2" t="s">
        <v>6</v>
      </c>
      <c r="C5" s="2">
        <v>60781525.579999998</v>
      </c>
      <c r="G5" s="14"/>
    </row>
    <row r="6" spans="1:10" x14ac:dyDescent="0.25">
      <c r="A6" s="4">
        <v>42052</v>
      </c>
      <c r="B6" s="1" t="s">
        <v>7</v>
      </c>
      <c r="C6" s="1">
        <v>85335689.099999994</v>
      </c>
    </row>
    <row r="7" spans="1:10" x14ac:dyDescent="0.25">
      <c r="A7" s="5">
        <v>42315</v>
      </c>
      <c r="B7" s="2" t="s">
        <v>8</v>
      </c>
      <c r="C7" s="2">
        <v>37602856.359999999</v>
      </c>
      <c r="J7" s="3"/>
    </row>
    <row r="8" spans="1:10" x14ac:dyDescent="0.25">
      <c r="A8" s="4">
        <v>42162</v>
      </c>
      <c r="B8" s="1" t="s">
        <v>9</v>
      </c>
      <c r="C8" s="1">
        <v>35700600.770000003</v>
      </c>
    </row>
    <row r="9" spans="1:10" x14ac:dyDescent="0.25">
      <c r="A9" s="5">
        <v>42268</v>
      </c>
      <c r="B9" s="2" t="s">
        <v>10</v>
      </c>
      <c r="C9" s="2">
        <v>23189858.239999998</v>
      </c>
    </row>
    <row r="10" spans="1:10" x14ac:dyDescent="0.25">
      <c r="A10" s="4">
        <v>42237</v>
      </c>
      <c r="B10" s="1" t="s">
        <v>11</v>
      </c>
      <c r="C10" s="1">
        <v>136403069.66999999</v>
      </c>
    </row>
    <row r="11" spans="1:10" x14ac:dyDescent="0.25">
      <c r="A11" s="5">
        <v>42280</v>
      </c>
      <c r="B11" s="2" t="s">
        <v>12</v>
      </c>
      <c r="C11" s="2">
        <v>38792421.969999999</v>
      </c>
    </row>
    <row r="12" spans="1:10" x14ac:dyDescent="0.25">
      <c r="A12" s="4">
        <v>42258</v>
      </c>
      <c r="B12" s="1" t="s">
        <v>13</v>
      </c>
      <c r="C12" s="1">
        <v>47166600.060000002</v>
      </c>
    </row>
    <row r="13" spans="1:10" x14ac:dyDescent="0.25">
      <c r="A13" s="5">
        <v>42224</v>
      </c>
      <c r="B13" s="2" t="s">
        <v>14</v>
      </c>
      <c r="C13" s="2">
        <v>168186197.47999999</v>
      </c>
    </row>
    <row r="14" spans="1:10" x14ac:dyDescent="0.25">
      <c r="A14" s="4">
        <v>42047</v>
      </c>
      <c r="B14" s="1" t="s">
        <v>15</v>
      </c>
      <c r="C14" s="1">
        <v>54982558.299999997</v>
      </c>
    </row>
    <row r="15" spans="1:10" x14ac:dyDescent="0.25">
      <c r="A15" s="5">
        <v>42291</v>
      </c>
      <c r="B15" s="2" t="s">
        <v>16</v>
      </c>
      <c r="C15" s="2">
        <v>71828840.620000005</v>
      </c>
    </row>
    <row r="16" spans="1:10" x14ac:dyDescent="0.25">
      <c r="A16" s="4">
        <v>42112</v>
      </c>
      <c r="B16" s="1" t="s">
        <v>17</v>
      </c>
      <c r="C16" s="1">
        <v>39822769.289999999</v>
      </c>
    </row>
    <row r="17" spans="1:3" x14ac:dyDescent="0.25">
      <c r="A17" s="5">
        <v>42293</v>
      </c>
      <c r="B17" s="2" t="s">
        <v>18</v>
      </c>
      <c r="C17" s="2">
        <v>59163843.119999997</v>
      </c>
    </row>
    <row r="18" spans="1:3" x14ac:dyDescent="0.25">
      <c r="A18" s="4">
        <v>42078</v>
      </c>
      <c r="B18" s="1" t="s">
        <v>19</v>
      </c>
      <c r="C18" s="1">
        <v>34085704.850000001</v>
      </c>
    </row>
    <row r="19" spans="1:3" x14ac:dyDescent="0.25">
      <c r="A19" s="5">
        <v>42100</v>
      </c>
      <c r="B19" s="2" t="s">
        <v>20</v>
      </c>
      <c r="C19" s="2">
        <v>226368167.93000001</v>
      </c>
    </row>
    <row r="20" spans="1:3" x14ac:dyDescent="0.25">
      <c r="A20" s="4">
        <v>42033</v>
      </c>
      <c r="B20" s="1" t="s">
        <v>21</v>
      </c>
      <c r="C20" s="1">
        <v>57612298.939999998</v>
      </c>
    </row>
    <row r="21" spans="1:3" x14ac:dyDescent="0.25">
      <c r="A21" s="5">
        <v>42256</v>
      </c>
      <c r="B21" s="2" t="s">
        <v>22</v>
      </c>
      <c r="C21" s="2">
        <v>72153818.010000005</v>
      </c>
    </row>
    <row r="22" spans="1:3" x14ac:dyDescent="0.25">
      <c r="A22" s="4">
        <v>42017</v>
      </c>
      <c r="B22" s="1" t="s">
        <v>23</v>
      </c>
      <c r="C22" s="1">
        <v>45275904.280000001</v>
      </c>
    </row>
    <row r="23" spans="1:3" x14ac:dyDescent="0.25">
      <c r="A23" s="5">
        <v>42265</v>
      </c>
      <c r="B23" s="2" t="s">
        <v>24</v>
      </c>
      <c r="C23" s="2">
        <v>33632106.659999996</v>
      </c>
    </row>
    <row r="24" spans="1:3" x14ac:dyDescent="0.25">
      <c r="A24" s="4">
        <v>42232</v>
      </c>
      <c r="B24" s="1" t="s">
        <v>25</v>
      </c>
      <c r="C24" s="1">
        <v>51032662.689999998</v>
      </c>
    </row>
    <row r="25" spans="1:3" x14ac:dyDescent="0.25">
      <c r="A25" s="5">
        <v>42246</v>
      </c>
      <c r="B25" s="2" t="s">
        <v>26</v>
      </c>
      <c r="C25" s="2">
        <v>1207900597.6500001</v>
      </c>
    </row>
    <row r="26" spans="1:3" x14ac:dyDescent="0.25">
      <c r="A26" s="4">
        <v>42011</v>
      </c>
      <c r="B26" s="1" t="s">
        <v>27</v>
      </c>
      <c r="C26" s="1">
        <v>53066146.920000002</v>
      </c>
    </row>
    <row r="27" spans="1:3" x14ac:dyDescent="0.25">
      <c r="A27" s="5">
        <v>42058</v>
      </c>
      <c r="B27" s="2" t="s">
        <v>28</v>
      </c>
      <c r="C27" s="2">
        <v>44780717.630000003</v>
      </c>
    </row>
    <row r="28" spans="1:3" x14ac:dyDescent="0.25">
      <c r="A28" s="4">
        <v>42135</v>
      </c>
      <c r="B28" s="1" t="s">
        <v>29</v>
      </c>
      <c r="C28" s="1">
        <v>103331349.94</v>
      </c>
    </row>
    <row r="29" spans="1:3" x14ac:dyDescent="0.25">
      <c r="A29" s="5">
        <v>42167</v>
      </c>
      <c r="B29" s="2" t="s">
        <v>30</v>
      </c>
      <c r="C29" s="2">
        <v>52089561.210000001</v>
      </c>
    </row>
    <row r="30" spans="1:3" x14ac:dyDescent="0.25">
      <c r="A30" s="4">
        <v>42050</v>
      </c>
      <c r="B30" s="1" t="s">
        <v>31</v>
      </c>
      <c r="C30" s="1">
        <v>76896131.150000006</v>
      </c>
    </row>
    <row r="31" spans="1:3" x14ac:dyDescent="0.25">
      <c r="A31" s="5">
        <v>42214</v>
      </c>
      <c r="B31" s="2" t="s">
        <v>32</v>
      </c>
      <c r="C31" s="2">
        <v>66754604.539999999</v>
      </c>
    </row>
    <row r="32" spans="1:3" x14ac:dyDescent="0.25">
      <c r="A32" s="4">
        <v>42293</v>
      </c>
      <c r="B32" s="1" t="s">
        <v>33</v>
      </c>
      <c r="C32" s="1">
        <v>30474421.989999998</v>
      </c>
    </row>
    <row r="33" spans="1:3" x14ac:dyDescent="0.25">
      <c r="A33" s="5">
        <v>42110</v>
      </c>
      <c r="B33" s="2" t="s">
        <v>34</v>
      </c>
      <c r="C33" s="2">
        <v>46922403.740000002</v>
      </c>
    </row>
    <row r="34" spans="1:3" x14ac:dyDescent="0.25">
      <c r="A34" s="4">
        <v>42268</v>
      </c>
      <c r="B34" s="1" t="s">
        <v>35</v>
      </c>
      <c r="C34" s="1">
        <v>41946527.109999999</v>
      </c>
    </row>
    <row r="35" spans="1:3" x14ac:dyDescent="0.25">
      <c r="A35" s="5">
        <v>42279</v>
      </c>
      <c r="B35" s="2" t="s">
        <v>36</v>
      </c>
      <c r="C35" s="2">
        <v>22934478.170000002</v>
      </c>
    </row>
    <row r="36" spans="1:3" x14ac:dyDescent="0.25">
      <c r="A36" s="4">
        <v>42195</v>
      </c>
      <c r="B36" s="1" t="s">
        <v>37</v>
      </c>
      <c r="C36" s="1">
        <v>30456120.370000001</v>
      </c>
    </row>
    <row r="37" spans="1:3" x14ac:dyDescent="0.25">
      <c r="A37" s="5">
        <v>42078</v>
      </c>
      <c r="B37" s="2" t="s">
        <v>38</v>
      </c>
      <c r="C37" s="2">
        <v>34919653.149999999</v>
      </c>
    </row>
    <row r="38" spans="1:3" x14ac:dyDescent="0.25">
      <c r="A38" s="4">
        <v>42154</v>
      </c>
      <c r="B38" s="1" t="s">
        <v>39</v>
      </c>
      <c r="C38" s="1">
        <v>35044755.920000002</v>
      </c>
    </row>
    <row r="39" spans="1:3" x14ac:dyDescent="0.25">
      <c r="A39" s="5">
        <v>42284</v>
      </c>
      <c r="B39" s="2" t="s">
        <v>40</v>
      </c>
      <c r="C39" s="2">
        <v>7348520340.2600002</v>
      </c>
    </row>
    <row r="40" spans="1:3" x14ac:dyDescent="0.25">
      <c r="A40" s="4">
        <v>42651</v>
      </c>
      <c r="B40" s="1" t="s">
        <v>3</v>
      </c>
      <c r="C40" s="1">
        <v>41290438.920000002</v>
      </c>
    </row>
    <row r="41" spans="1:3" x14ac:dyDescent="0.25">
      <c r="A41" s="5">
        <v>42545</v>
      </c>
      <c r="B41" s="2" t="s">
        <v>4</v>
      </c>
      <c r="C41" s="2">
        <v>83731530.909999996</v>
      </c>
    </row>
    <row r="42" spans="1:3" x14ac:dyDescent="0.25">
      <c r="A42" s="4">
        <v>42525</v>
      </c>
      <c r="B42" s="1" t="s">
        <v>5</v>
      </c>
      <c r="C42" s="1">
        <v>50555649.25</v>
      </c>
    </row>
    <row r="43" spans="1:3" x14ac:dyDescent="0.25">
      <c r="A43" s="5">
        <v>42513</v>
      </c>
      <c r="B43" s="2" t="s">
        <v>6</v>
      </c>
      <c r="C43" s="2">
        <v>62883387.469999999</v>
      </c>
    </row>
    <row r="44" spans="1:3" x14ac:dyDescent="0.25">
      <c r="A44" s="4">
        <v>42452</v>
      </c>
      <c r="B44" s="1" t="s">
        <v>7</v>
      </c>
      <c r="C44" s="1">
        <v>97174751.480000004</v>
      </c>
    </row>
    <row r="45" spans="1:3" x14ac:dyDescent="0.25">
      <c r="A45" s="5">
        <v>42409</v>
      </c>
      <c r="B45" s="2" t="s">
        <v>8</v>
      </c>
      <c r="C45" s="2">
        <v>39252787.659999996</v>
      </c>
    </row>
    <row r="46" spans="1:3" x14ac:dyDescent="0.25">
      <c r="A46" s="4">
        <v>42372</v>
      </c>
      <c r="B46" s="1" t="s">
        <v>9</v>
      </c>
      <c r="C46" s="1">
        <v>34683473.859999999</v>
      </c>
    </row>
    <row r="47" spans="1:3" x14ac:dyDescent="0.25">
      <c r="A47" s="5">
        <v>42503</v>
      </c>
      <c r="B47" s="2" t="s">
        <v>10</v>
      </c>
      <c r="C47" s="2">
        <v>22068385.039999999</v>
      </c>
    </row>
    <row r="48" spans="1:3" x14ac:dyDescent="0.25">
      <c r="A48" s="4">
        <v>42523</v>
      </c>
      <c r="B48" s="1" t="s">
        <v>11</v>
      </c>
      <c r="C48" s="1">
        <v>114995639.01000001</v>
      </c>
    </row>
    <row r="49" spans="1:3" x14ac:dyDescent="0.25">
      <c r="A49" s="5">
        <v>42630</v>
      </c>
      <c r="B49" s="2" t="s">
        <v>12</v>
      </c>
      <c r="C49" s="2">
        <v>42318066.030000001</v>
      </c>
    </row>
    <row r="50" spans="1:3" x14ac:dyDescent="0.25">
      <c r="A50" s="4">
        <v>42438</v>
      </c>
      <c r="B50" s="1" t="s">
        <v>13</v>
      </c>
      <c r="C50" s="1">
        <v>46383284.020000003</v>
      </c>
    </row>
    <row r="51" spans="1:3" x14ac:dyDescent="0.25">
      <c r="A51" s="5">
        <v>42585</v>
      </c>
      <c r="B51" s="2" t="s">
        <v>14</v>
      </c>
      <c r="C51" s="2">
        <v>183641998.74000001</v>
      </c>
    </row>
    <row r="52" spans="1:3" x14ac:dyDescent="0.25">
      <c r="A52" s="4">
        <v>42638</v>
      </c>
      <c r="B52" s="1" t="s">
        <v>15</v>
      </c>
      <c r="C52" s="1">
        <v>56877230.799999997</v>
      </c>
    </row>
    <row r="53" spans="1:3" x14ac:dyDescent="0.25">
      <c r="A53" s="5">
        <v>42567</v>
      </c>
      <c r="B53" s="2" t="s">
        <v>16</v>
      </c>
      <c r="C53" s="2">
        <v>73588934.019999996</v>
      </c>
    </row>
    <row r="54" spans="1:3" x14ac:dyDescent="0.25">
      <c r="A54" s="4">
        <v>42456</v>
      </c>
      <c r="B54" s="1" t="s">
        <v>17</v>
      </c>
      <c r="C54" s="1">
        <v>37841651.380000003</v>
      </c>
    </row>
    <row r="55" spans="1:3" x14ac:dyDescent="0.25">
      <c r="A55" s="5">
        <v>42503</v>
      </c>
      <c r="B55" s="2" t="s">
        <v>18</v>
      </c>
      <c r="C55" s="2">
        <v>60217190.979999997</v>
      </c>
    </row>
    <row r="56" spans="1:3" x14ac:dyDescent="0.25">
      <c r="A56" s="4">
        <v>42577</v>
      </c>
      <c r="B56" s="1" t="s">
        <v>19</v>
      </c>
      <c r="C56" s="1">
        <v>32415951.199999999</v>
      </c>
    </row>
    <row r="57" spans="1:3" x14ac:dyDescent="0.25">
      <c r="A57" s="5">
        <v>42614</v>
      </c>
      <c r="B57" s="2" t="s">
        <v>20</v>
      </c>
      <c r="C57" s="2">
        <v>222882926.46000001</v>
      </c>
    </row>
    <row r="58" spans="1:3" x14ac:dyDescent="0.25">
      <c r="A58" s="4">
        <v>42441</v>
      </c>
      <c r="B58" s="1" t="s">
        <v>21</v>
      </c>
      <c r="C58" s="1">
        <v>58247338.909999996</v>
      </c>
    </row>
    <row r="59" spans="1:3" x14ac:dyDescent="0.25">
      <c r="A59" s="5">
        <v>42664</v>
      </c>
      <c r="B59" s="2" t="s">
        <v>22</v>
      </c>
      <c r="C59" s="2">
        <v>68060334.709999993</v>
      </c>
    </row>
    <row r="60" spans="1:3" x14ac:dyDescent="0.25">
      <c r="A60" s="4">
        <v>42409</v>
      </c>
      <c r="B60" s="1" t="s">
        <v>23</v>
      </c>
      <c r="C60" s="1">
        <v>46101478.450000003</v>
      </c>
    </row>
    <row r="61" spans="1:3" x14ac:dyDescent="0.25">
      <c r="A61" s="5">
        <v>42510</v>
      </c>
      <c r="B61" s="2" t="s">
        <v>24</v>
      </c>
      <c r="C61" s="2">
        <v>31947420.16</v>
      </c>
    </row>
    <row r="62" spans="1:3" x14ac:dyDescent="0.25">
      <c r="A62" s="4">
        <v>42626</v>
      </c>
      <c r="B62" s="1" t="s">
        <v>25</v>
      </c>
      <c r="C62" s="1">
        <v>48975899.490000002</v>
      </c>
    </row>
    <row r="63" spans="1:3" x14ac:dyDescent="0.25">
      <c r="A63" s="5">
        <v>42556</v>
      </c>
      <c r="B63" s="2" t="s">
        <v>26</v>
      </c>
      <c r="C63" s="2">
        <v>1380650731.0899999</v>
      </c>
    </row>
    <row r="64" spans="1:3" x14ac:dyDescent="0.25">
      <c r="A64" s="4">
        <v>42646</v>
      </c>
      <c r="B64" s="1" t="s">
        <v>27</v>
      </c>
      <c r="C64" s="1">
        <v>56021853.270000003</v>
      </c>
    </row>
    <row r="65" spans="1:3" x14ac:dyDescent="0.25">
      <c r="A65" s="5">
        <v>42472</v>
      </c>
      <c r="B65" s="2" t="s">
        <v>28</v>
      </c>
      <c r="C65" s="2">
        <v>45349530.399999999</v>
      </c>
    </row>
    <row r="66" spans="1:3" x14ac:dyDescent="0.25">
      <c r="A66" s="4">
        <v>42476</v>
      </c>
      <c r="B66" s="1" t="s">
        <v>29</v>
      </c>
      <c r="C66" s="1">
        <v>103416368.77</v>
      </c>
    </row>
    <row r="67" spans="1:3" x14ac:dyDescent="0.25">
      <c r="A67" s="5">
        <v>42513</v>
      </c>
      <c r="B67" s="2" t="s">
        <v>30</v>
      </c>
      <c r="C67" s="2">
        <v>49527401.219999999</v>
      </c>
    </row>
    <row r="68" spans="1:3" x14ac:dyDescent="0.25">
      <c r="A68" s="4">
        <v>42615</v>
      </c>
      <c r="B68" s="1" t="s">
        <v>31</v>
      </c>
      <c r="C68" s="1">
        <v>70533845.790000007</v>
      </c>
    </row>
    <row r="69" spans="1:3" x14ac:dyDescent="0.25">
      <c r="A69" s="5">
        <v>42627</v>
      </c>
      <c r="B69" s="2" t="s">
        <v>32</v>
      </c>
      <c r="C69" s="2">
        <v>71913437.739999995</v>
      </c>
    </row>
    <row r="70" spans="1:3" x14ac:dyDescent="0.25">
      <c r="A70" s="4">
        <v>42574</v>
      </c>
      <c r="B70" s="1" t="s">
        <v>33</v>
      </c>
      <c r="C70" s="1">
        <v>29139067.379999999</v>
      </c>
    </row>
    <row r="71" spans="1:3" x14ac:dyDescent="0.25">
      <c r="A71" s="5">
        <v>42646</v>
      </c>
      <c r="B71" s="2" t="s">
        <v>34</v>
      </c>
      <c r="C71" s="2">
        <v>48256593.969999999</v>
      </c>
    </row>
    <row r="72" spans="1:3" x14ac:dyDescent="0.25">
      <c r="A72" s="4">
        <v>42391</v>
      </c>
      <c r="B72" s="1" t="s">
        <v>35</v>
      </c>
      <c r="C72" s="1">
        <v>39785679.950000003</v>
      </c>
    </row>
    <row r="73" spans="1:3" x14ac:dyDescent="0.25">
      <c r="A73" s="5">
        <v>42570</v>
      </c>
      <c r="B73" s="2" t="s">
        <v>36</v>
      </c>
      <c r="C73" s="2">
        <v>21926982.52</v>
      </c>
    </row>
    <row r="74" spans="1:3" x14ac:dyDescent="0.25">
      <c r="A74" s="4">
        <v>42596</v>
      </c>
      <c r="B74" s="1" t="s">
        <v>37</v>
      </c>
      <c r="C74" s="1">
        <v>28536278.899999999</v>
      </c>
    </row>
    <row r="75" spans="1:3" x14ac:dyDescent="0.25">
      <c r="A75" s="5">
        <v>42521</v>
      </c>
      <c r="B75" s="2" t="s">
        <v>38</v>
      </c>
      <c r="C75" s="2">
        <v>33614368.270000003</v>
      </c>
    </row>
    <row r="76" spans="1:3" x14ac:dyDescent="0.25">
      <c r="A76" s="4">
        <v>42526</v>
      </c>
      <c r="B76" s="1" t="s">
        <v>39</v>
      </c>
      <c r="C76" s="1">
        <v>32810348.600000001</v>
      </c>
    </row>
    <row r="77" spans="1:3" x14ac:dyDescent="0.25">
      <c r="A77" s="5">
        <v>42403</v>
      </c>
      <c r="B77" s="2" t="s">
        <v>40</v>
      </c>
      <c r="C77" s="2">
        <v>7838658360.1800003</v>
      </c>
    </row>
    <row r="78" spans="1:3" x14ac:dyDescent="0.25">
      <c r="A78" s="4">
        <v>42907</v>
      </c>
      <c r="B78" s="1" t="s">
        <v>3</v>
      </c>
      <c r="C78" s="1">
        <v>101486013.73999999</v>
      </c>
    </row>
    <row r="79" spans="1:3" x14ac:dyDescent="0.25">
      <c r="A79" s="5">
        <v>42921</v>
      </c>
      <c r="B79" s="2" t="s">
        <v>4</v>
      </c>
      <c r="C79" s="2">
        <v>94574331.400000006</v>
      </c>
    </row>
    <row r="80" spans="1:3" x14ac:dyDescent="0.25">
      <c r="A80" s="4">
        <v>42923</v>
      </c>
      <c r="B80" s="1" t="s">
        <v>5</v>
      </c>
      <c r="C80" s="1">
        <v>50523477.210000001</v>
      </c>
    </row>
    <row r="81" spans="1:3" x14ac:dyDescent="0.25">
      <c r="A81" s="5">
        <v>42848</v>
      </c>
      <c r="B81" s="2" t="s">
        <v>6</v>
      </c>
      <c r="C81" s="2">
        <v>85924044.730000004</v>
      </c>
    </row>
    <row r="82" spans="1:3" x14ac:dyDescent="0.25">
      <c r="A82" s="4">
        <v>42911</v>
      </c>
      <c r="B82" s="1" t="s">
        <v>7</v>
      </c>
      <c r="C82" s="1">
        <v>109828380.95999999</v>
      </c>
    </row>
    <row r="83" spans="1:3" x14ac:dyDescent="0.25">
      <c r="A83" s="5">
        <v>42857</v>
      </c>
      <c r="B83" s="2" t="s">
        <v>8</v>
      </c>
      <c r="C83" s="2">
        <v>47769179.560000002</v>
      </c>
    </row>
    <row r="84" spans="1:3" x14ac:dyDescent="0.25">
      <c r="A84" s="4">
        <v>42828</v>
      </c>
      <c r="B84" s="1" t="s">
        <v>9</v>
      </c>
      <c r="C84" s="1">
        <v>35503110.170000002</v>
      </c>
    </row>
    <row r="85" spans="1:3" x14ac:dyDescent="0.25">
      <c r="A85" s="5">
        <v>42811</v>
      </c>
      <c r="B85" s="2" t="s">
        <v>10</v>
      </c>
      <c r="C85" s="2">
        <v>22594569.699999999</v>
      </c>
    </row>
    <row r="86" spans="1:3" x14ac:dyDescent="0.25">
      <c r="A86" s="4">
        <v>42991</v>
      </c>
      <c r="B86" s="1" t="s">
        <v>11</v>
      </c>
      <c r="C86" s="1">
        <v>167922477.16999999</v>
      </c>
    </row>
    <row r="87" spans="1:3" x14ac:dyDescent="0.25">
      <c r="A87" s="5">
        <v>42909</v>
      </c>
      <c r="B87" s="2" t="s">
        <v>12</v>
      </c>
      <c r="C87" s="2">
        <v>58391491.079999998</v>
      </c>
    </row>
    <row r="88" spans="1:3" x14ac:dyDescent="0.25">
      <c r="A88" s="4">
        <v>42814</v>
      </c>
      <c r="B88" s="1" t="s">
        <v>13</v>
      </c>
      <c r="C88" s="1">
        <v>63373675.280000001</v>
      </c>
    </row>
    <row r="89" spans="1:3" x14ac:dyDescent="0.25">
      <c r="A89" s="5">
        <v>42999</v>
      </c>
      <c r="B89" s="2" t="s">
        <v>14</v>
      </c>
      <c r="C89" s="2">
        <v>232204507.94999999</v>
      </c>
    </row>
    <row r="90" spans="1:3" x14ac:dyDescent="0.25">
      <c r="A90" s="4">
        <v>42784</v>
      </c>
      <c r="B90" s="1" t="s">
        <v>15</v>
      </c>
      <c r="C90" s="1">
        <v>78053560.269999996</v>
      </c>
    </row>
    <row r="91" spans="1:3" x14ac:dyDescent="0.25">
      <c r="A91" s="5">
        <v>42849</v>
      </c>
      <c r="B91" s="2" t="s">
        <v>16</v>
      </c>
      <c r="C91" s="2">
        <v>133109100.89</v>
      </c>
    </row>
    <row r="92" spans="1:3" x14ac:dyDescent="0.25">
      <c r="A92" s="4">
        <v>42743</v>
      </c>
      <c r="B92" s="1" t="s">
        <v>17</v>
      </c>
      <c r="C92" s="1">
        <v>39194159.32</v>
      </c>
    </row>
    <row r="93" spans="1:3" x14ac:dyDescent="0.25">
      <c r="A93" s="5">
        <v>42764</v>
      </c>
      <c r="B93" s="2" t="s">
        <v>18</v>
      </c>
      <c r="C93" s="2">
        <v>62848234.689999998</v>
      </c>
    </row>
    <row r="94" spans="1:3" x14ac:dyDescent="0.25">
      <c r="A94" s="4">
        <v>42804</v>
      </c>
      <c r="B94" s="1" t="s">
        <v>19</v>
      </c>
      <c r="C94" s="1">
        <v>33497712.800000001</v>
      </c>
    </row>
    <row r="95" spans="1:3" x14ac:dyDescent="0.25">
      <c r="A95" s="5">
        <v>42767</v>
      </c>
      <c r="B95" s="2" t="s">
        <v>20</v>
      </c>
      <c r="C95" s="2">
        <v>238279089.97999999</v>
      </c>
    </row>
    <row r="96" spans="1:3" x14ac:dyDescent="0.25">
      <c r="A96" s="4">
        <v>42871</v>
      </c>
      <c r="B96" s="1" t="s">
        <v>21</v>
      </c>
      <c r="C96" s="1">
        <v>66534693.840000004</v>
      </c>
    </row>
    <row r="97" spans="1:3" x14ac:dyDescent="0.25">
      <c r="A97" s="5">
        <v>42834</v>
      </c>
      <c r="B97" s="2" t="s">
        <v>22</v>
      </c>
      <c r="C97" s="2">
        <v>67864607.659999996</v>
      </c>
    </row>
    <row r="98" spans="1:3" x14ac:dyDescent="0.25">
      <c r="A98" s="4">
        <v>42804</v>
      </c>
      <c r="B98" s="1" t="s">
        <v>23</v>
      </c>
      <c r="C98" s="1">
        <v>47820060.270000003</v>
      </c>
    </row>
    <row r="99" spans="1:3" x14ac:dyDescent="0.25">
      <c r="A99" s="5">
        <v>42862</v>
      </c>
      <c r="B99" s="2" t="s">
        <v>24</v>
      </c>
      <c r="C99" s="2">
        <v>33030039.02</v>
      </c>
    </row>
    <row r="100" spans="1:3" x14ac:dyDescent="0.25">
      <c r="A100" s="4">
        <v>42973</v>
      </c>
      <c r="B100" s="1" t="s">
        <v>25</v>
      </c>
      <c r="C100" s="1">
        <v>50726592.990000002</v>
      </c>
    </row>
    <row r="101" spans="1:3" x14ac:dyDescent="0.25">
      <c r="A101" s="5">
        <v>42872</v>
      </c>
      <c r="B101" s="2" t="s">
        <v>26</v>
      </c>
      <c r="C101" s="2">
        <v>1466164553.72</v>
      </c>
    </row>
    <row r="102" spans="1:3" x14ac:dyDescent="0.25">
      <c r="A102" s="4">
        <v>42957</v>
      </c>
      <c r="B102" s="1" t="s">
        <v>27</v>
      </c>
      <c r="C102" s="1">
        <v>62878628.369999997</v>
      </c>
    </row>
    <row r="103" spans="1:3" x14ac:dyDescent="0.25">
      <c r="A103" s="5">
        <v>42824</v>
      </c>
      <c r="B103" s="2" t="s">
        <v>28</v>
      </c>
      <c r="C103" s="2">
        <v>56822601.530000001</v>
      </c>
    </row>
    <row r="104" spans="1:3" x14ac:dyDescent="0.25">
      <c r="A104" s="4">
        <v>42826</v>
      </c>
      <c r="B104" s="1" t="s">
        <v>29</v>
      </c>
      <c r="C104" s="1">
        <v>107449174.8</v>
      </c>
    </row>
    <row r="105" spans="1:3" x14ac:dyDescent="0.25">
      <c r="A105" s="5">
        <v>42978</v>
      </c>
      <c r="B105" s="2" t="s">
        <v>30</v>
      </c>
      <c r="C105" s="2">
        <v>50251762.159999996</v>
      </c>
    </row>
    <row r="106" spans="1:3" x14ac:dyDescent="0.25">
      <c r="A106" s="4">
        <v>42749</v>
      </c>
      <c r="B106" s="1" t="s">
        <v>31</v>
      </c>
      <c r="C106" s="1">
        <v>96607386.379999995</v>
      </c>
    </row>
    <row r="107" spans="1:3" x14ac:dyDescent="0.25">
      <c r="A107" s="5">
        <v>42956</v>
      </c>
      <c r="B107" s="2" t="s">
        <v>32</v>
      </c>
      <c r="C107" s="2">
        <v>93218640.359999999</v>
      </c>
    </row>
    <row r="108" spans="1:3" x14ac:dyDescent="0.25">
      <c r="A108" s="4">
        <v>42784</v>
      </c>
      <c r="B108" s="1" t="s">
        <v>33</v>
      </c>
      <c r="C108" s="1">
        <v>30071776.510000002</v>
      </c>
    </row>
    <row r="109" spans="1:3" x14ac:dyDescent="0.25">
      <c r="A109" s="5">
        <v>42752</v>
      </c>
      <c r="B109" s="2" t="s">
        <v>34</v>
      </c>
      <c r="C109" s="2">
        <v>66766028.399999999</v>
      </c>
    </row>
    <row r="110" spans="1:3" x14ac:dyDescent="0.25">
      <c r="A110" s="4">
        <v>42852</v>
      </c>
      <c r="B110" s="1" t="s">
        <v>35</v>
      </c>
      <c r="C110" s="1">
        <v>41161222.600000001</v>
      </c>
    </row>
    <row r="111" spans="1:3" x14ac:dyDescent="0.25">
      <c r="A111" s="5">
        <v>42770</v>
      </c>
      <c r="B111" s="2" t="s">
        <v>36</v>
      </c>
      <c r="C111" s="2">
        <v>26563234.690000001</v>
      </c>
    </row>
    <row r="112" spans="1:3" x14ac:dyDescent="0.25">
      <c r="A112" s="4">
        <v>42891</v>
      </c>
      <c r="B112" s="1" t="s">
        <v>37</v>
      </c>
      <c r="C112" s="1">
        <v>29564923.260000002</v>
      </c>
    </row>
    <row r="113" spans="1:3" x14ac:dyDescent="0.25">
      <c r="A113" s="5">
        <v>42981</v>
      </c>
      <c r="B113" s="2" t="s">
        <v>38</v>
      </c>
      <c r="C113" s="2">
        <v>34833758.57</v>
      </c>
    </row>
    <row r="114" spans="1:3" x14ac:dyDescent="0.25">
      <c r="A114" s="4">
        <v>42800</v>
      </c>
      <c r="B114" s="1" t="s">
        <v>39</v>
      </c>
      <c r="C114" s="1">
        <v>33722464.82</v>
      </c>
    </row>
    <row r="115" spans="1:3" x14ac:dyDescent="0.25">
      <c r="A115" s="5">
        <v>42829</v>
      </c>
      <c r="B115" s="2" t="s">
        <v>40</v>
      </c>
      <c r="C115" s="2">
        <v>14796304703.15</v>
      </c>
    </row>
    <row r="116" spans="1:3" x14ac:dyDescent="0.25">
      <c r="A116" s="4">
        <v>43336</v>
      </c>
      <c r="B116" s="1" t="s">
        <v>3</v>
      </c>
      <c r="C116" s="1">
        <v>98582798.909999996</v>
      </c>
    </row>
    <row r="117" spans="1:3" x14ac:dyDescent="0.25">
      <c r="A117" s="5">
        <v>43346</v>
      </c>
      <c r="B117" s="2" t="s">
        <v>4</v>
      </c>
      <c r="C117" s="2">
        <v>97790423.730000004</v>
      </c>
    </row>
    <row r="118" spans="1:3" x14ac:dyDescent="0.25">
      <c r="A118" s="4">
        <v>43148</v>
      </c>
      <c r="B118" s="1" t="s">
        <v>5</v>
      </c>
      <c r="C118" s="1">
        <v>45657647.140000001</v>
      </c>
    </row>
    <row r="119" spans="1:3" x14ac:dyDescent="0.25">
      <c r="A119" s="5">
        <v>43208</v>
      </c>
      <c r="B119" s="2" t="s">
        <v>6</v>
      </c>
      <c r="C119" s="2">
        <v>107041487.48</v>
      </c>
    </row>
    <row r="120" spans="1:3" x14ac:dyDescent="0.25">
      <c r="A120" s="4">
        <v>43121</v>
      </c>
      <c r="B120" s="1" t="s">
        <v>7</v>
      </c>
      <c r="C120" s="1">
        <v>133930757.08</v>
      </c>
    </row>
    <row r="121" spans="1:3" x14ac:dyDescent="0.25">
      <c r="A121" s="5">
        <v>43141</v>
      </c>
      <c r="B121" s="2" t="s">
        <v>8</v>
      </c>
      <c r="C121" s="2">
        <v>56623178.710000001</v>
      </c>
    </row>
    <row r="122" spans="1:3" x14ac:dyDescent="0.25">
      <c r="A122" s="4">
        <v>43286</v>
      </c>
      <c r="B122" s="1" t="s">
        <v>9</v>
      </c>
      <c r="C122" s="1">
        <v>39610851.640000001</v>
      </c>
    </row>
    <row r="123" spans="1:3" x14ac:dyDescent="0.25">
      <c r="A123" s="5">
        <v>43287</v>
      </c>
      <c r="B123" s="2" t="s">
        <v>10</v>
      </c>
      <c r="C123" s="2">
        <v>21618240.109999999</v>
      </c>
    </row>
    <row r="124" spans="1:3" x14ac:dyDescent="0.25">
      <c r="A124" s="4">
        <v>43258</v>
      </c>
      <c r="B124" s="1" t="s">
        <v>11</v>
      </c>
      <c r="C124" s="1">
        <v>188773736.81</v>
      </c>
    </row>
    <row r="125" spans="1:3" x14ac:dyDescent="0.25">
      <c r="A125" s="5">
        <v>43183</v>
      </c>
      <c r="B125" s="2" t="s">
        <v>12</v>
      </c>
      <c r="C125" s="2">
        <v>63286948.43</v>
      </c>
    </row>
    <row r="126" spans="1:3" x14ac:dyDescent="0.25">
      <c r="A126" s="4">
        <v>43142</v>
      </c>
      <c r="B126" s="1" t="s">
        <v>13</v>
      </c>
      <c r="C126" s="1">
        <v>66653026.119999997</v>
      </c>
    </row>
    <row r="127" spans="1:3" x14ac:dyDescent="0.25">
      <c r="A127" s="5">
        <v>43185</v>
      </c>
      <c r="B127" s="2" t="s">
        <v>14</v>
      </c>
      <c r="C127" s="2">
        <v>276253922.95999998</v>
      </c>
    </row>
    <row r="128" spans="1:3" x14ac:dyDescent="0.25">
      <c r="A128" s="4">
        <v>43297</v>
      </c>
      <c r="B128" s="1" t="s">
        <v>15</v>
      </c>
      <c r="C128" s="1">
        <v>106208598.19</v>
      </c>
    </row>
    <row r="129" spans="1:3" x14ac:dyDescent="0.25">
      <c r="A129" s="5">
        <v>43244</v>
      </c>
      <c r="B129" s="2" t="s">
        <v>16</v>
      </c>
      <c r="C129" s="2">
        <v>126177662.23</v>
      </c>
    </row>
    <row r="130" spans="1:3" x14ac:dyDescent="0.25">
      <c r="A130" s="4">
        <v>43365</v>
      </c>
      <c r="B130" s="1" t="s">
        <v>17</v>
      </c>
      <c r="C130" s="1">
        <v>37406069.57</v>
      </c>
    </row>
    <row r="131" spans="1:3" x14ac:dyDescent="0.25">
      <c r="A131" s="5">
        <v>43223</v>
      </c>
      <c r="B131" s="2" t="s">
        <v>18</v>
      </c>
      <c r="C131" s="2">
        <v>59515586.619999997</v>
      </c>
    </row>
    <row r="132" spans="1:3" x14ac:dyDescent="0.25">
      <c r="A132" s="4">
        <v>43199</v>
      </c>
      <c r="B132" s="1" t="s">
        <v>19</v>
      </c>
      <c r="C132" s="1">
        <v>32008444.77</v>
      </c>
    </row>
    <row r="133" spans="1:3" x14ac:dyDescent="0.25">
      <c r="A133" s="5">
        <v>43160</v>
      </c>
      <c r="B133" s="2" t="s">
        <v>20</v>
      </c>
      <c r="C133" s="2">
        <v>227252685.58000001</v>
      </c>
    </row>
    <row r="134" spans="1:3" x14ac:dyDescent="0.25">
      <c r="A134" s="4">
        <v>43388</v>
      </c>
      <c r="B134" s="1" t="s">
        <v>21</v>
      </c>
      <c r="C134" s="1">
        <v>63409069.740000002</v>
      </c>
    </row>
    <row r="135" spans="1:3" x14ac:dyDescent="0.25">
      <c r="A135" s="5">
        <v>43304</v>
      </c>
      <c r="B135" s="2" t="s">
        <v>22</v>
      </c>
      <c r="C135" s="2">
        <v>62133706.899999999</v>
      </c>
    </row>
    <row r="136" spans="1:3" x14ac:dyDescent="0.25">
      <c r="A136" s="4">
        <v>43241</v>
      </c>
      <c r="B136" s="1" t="s">
        <v>23</v>
      </c>
      <c r="C136" s="1">
        <v>45605534.729999997</v>
      </c>
    </row>
    <row r="137" spans="1:3" x14ac:dyDescent="0.25">
      <c r="A137" s="5">
        <v>43113</v>
      </c>
      <c r="B137" s="2" t="s">
        <v>24</v>
      </c>
      <c r="C137" s="2">
        <v>31584158.359999999</v>
      </c>
    </row>
    <row r="138" spans="1:3" x14ac:dyDescent="0.25">
      <c r="A138" s="4">
        <v>43300</v>
      </c>
      <c r="B138" s="1" t="s">
        <v>25</v>
      </c>
      <c r="C138" s="1">
        <v>48599040.43</v>
      </c>
    </row>
    <row r="139" spans="1:3" x14ac:dyDescent="0.25">
      <c r="A139" s="5">
        <v>43140</v>
      </c>
      <c r="B139" s="2" t="s">
        <v>26</v>
      </c>
      <c r="C139" s="2">
        <v>1426428935.47</v>
      </c>
    </row>
    <row r="140" spans="1:3" x14ac:dyDescent="0.25">
      <c r="A140" s="4">
        <v>43164</v>
      </c>
      <c r="B140" s="1" t="s">
        <v>27</v>
      </c>
      <c r="C140" s="1">
        <v>59183665.509999998</v>
      </c>
    </row>
    <row r="141" spans="1:3" x14ac:dyDescent="0.25">
      <c r="A141" s="5">
        <v>43389</v>
      </c>
      <c r="B141" s="2" t="s">
        <v>28</v>
      </c>
      <c r="C141" s="2">
        <v>61345344.969999999</v>
      </c>
    </row>
    <row r="142" spans="1:3" x14ac:dyDescent="0.25">
      <c r="A142" s="4">
        <v>43209</v>
      </c>
      <c r="B142" s="1" t="s">
        <v>29</v>
      </c>
      <c r="C142" s="1">
        <v>103256042.18000001</v>
      </c>
    </row>
    <row r="143" spans="1:3" x14ac:dyDescent="0.25">
      <c r="A143" s="5">
        <v>43214</v>
      </c>
      <c r="B143" s="2" t="s">
        <v>30</v>
      </c>
      <c r="C143" s="2">
        <v>79854005.140000001</v>
      </c>
    </row>
    <row r="144" spans="1:3" x14ac:dyDescent="0.25">
      <c r="A144" s="4">
        <v>43327</v>
      </c>
      <c r="B144" s="1" t="s">
        <v>31</v>
      </c>
      <c r="C144" s="1">
        <v>99085406.370000005</v>
      </c>
    </row>
    <row r="145" spans="1:3" x14ac:dyDescent="0.25">
      <c r="A145" s="5">
        <v>43344</v>
      </c>
      <c r="B145" s="2" t="s">
        <v>32</v>
      </c>
      <c r="C145" s="2">
        <v>104997383.47</v>
      </c>
    </row>
    <row r="146" spans="1:3" x14ac:dyDescent="0.25">
      <c r="A146" s="4">
        <v>43195</v>
      </c>
      <c r="B146" s="1" t="s">
        <v>33</v>
      </c>
      <c r="C146" s="1">
        <v>28874208.629999999</v>
      </c>
    </row>
    <row r="147" spans="1:3" x14ac:dyDescent="0.25">
      <c r="A147" s="5">
        <v>43375</v>
      </c>
      <c r="B147" s="2" t="s">
        <v>34</v>
      </c>
      <c r="C147" s="2">
        <v>78278786.099999994</v>
      </c>
    </row>
    <row r="148" spans="1:3" x14ac:dyDescent="0.25">
      <c r="A148" s="4">
        <v>43228</v>
      </c>
      <c r="B148" s="1" t="s">
        <v>35</v>
      </c>
      <c r="C148" s="1">
        <v>39218901.039999999</v>
      </c>
    </row>
    <row r="149" spans="1:3" x14ac:dyDescent="0.25">
      <c r="A149" s="5">
        <v>43234</v>
      </c>
      <c r="B149" s="2" t="s">
        <v>36</v>
      </c>
      <c r="C149" s="2">
        <v>21611262.68</v>
      </c>
    </row>
    <row r="150" spans="1:3" x14ac:dyDescent="0.25">
      <c r="A150" s="4">
        <v>43260</v>
      </c>
      <c r="B150" s="1" t="s">
        <v>37</v>
      </c>
      <c r="C150" s="1">
        <v>27486482.07</v>
      </c>
    </row>
    <row r="151" spans="1:3" x14ac:dyDescent="0.25">
      <c r="A151" s="5">
        <v>43116</v>
      </c>
      <c r="B151" s="2" t="s">
        <v>38</v>
      </c>
      <c r="C151" s="2">
        <v>33524208.010000002</v>
      </c>
    </row>
    <row r="152" spans="1:3" x14ac:dyDescent="0.25">
      <c r="A152" s="4">
        <v>43225</v>
      </c>
      <c r="B152" s="1" t="s">
        <v>39</v>
      </c>
      <c r="C152" s="1">
        <v>31848844.120000001</v>
      </c>
    </row>
    <row r="153" spans="1:3" x14ac:dyDescent="0.25">
      <c r="A153" s="5">
        <v>43288</v>
      </c>
      <c r="B153" s="2" t="s">
        <v>40</v>
      </c>
      <c r="C153" s="2">
        <v>21043647747.98</v>
      </c>
    </row>
    <row r="154" spans="1:3" x14ac:dyDescent="0.25">
      <c r="A154" s="4">
        <v>43648</v>
      </c>
      <c r="B154" s="1" t="s">
        <v>3</v>
      </c>
      <c r="C154" s="1">
        <v>96590580.319999993</v>
      </c>
    </row>
    <row r="155" spans="1:3" x14ac:dyDescent="0.25">
      <c r="A155" s="5">
        <v>43583</v>
      </c>
      <c r="B155" s="2" t="s">
        <v>4</v>
      </c>
      <c r="C155" s="2">
        <v>108760507.98999999</v>
      </c>
    </row>
    <row r="156" spans="1:3" x14ac:dyDescent="0.25">
      <c r="A156" s="4">
        <v>43500</v>
      </c>
      <c r="B156" s="1" t="s">
        <v>5</v>
      </c>
      <c r="C156" s="1">
        <v>47975832.57</v>
      </c>
    </row>
    <row r="157" spans="1:3" x14ac:dyDescent="0.25">
      <c r="A157" s="5">
        <v>43570</v>
      </c>
      <c r="B157" s="2" t="s">
        <v>6</v>
      </c>
      <c r="C157" s="2">
        <v>108082910.62</v>
      </c>
    </row>
    <row r="158" spans="1:3" x14ac:dyDescent="0.25">
      <c r="A158" s="4">
        <v>43592</v>
      </c>
      <c r="B158" s="1" t="s">
        <v>7</v>
      </c>
      <c r="C158" s="1">
        <v>133895440.95</v>
      </c>
    </row>
    <row r="159" spans="1:3" x14ac:dyDescent="0.25">
      <c r="A159" s="5">
        <v>43601</v>
      </c>
      <c r="B159" s="2" t="s">
        <v>8</v>
      </c>
      <c r="C159" s="2">
        <v>59551021.219999999</v>
      </c>
    </row>
    <row r="160" spans="1:3" x14ac:dyDescent="0.25">
      <c r="A160" s="4">
        <v>43684</v>
      </c>
      <c r="B160" s="1" t="s">
        <v>9</v>
      </c>
      <c r="C160" s="1">
        <v>33423734.609999999</v>
      </c>
    </row>
    <row r="161" spans="1:3" x14ac:dyDescent="0.25">
      <c r="A161" s="5">
        <v>43568</v>
      </c>
      <c r="B161" s="2" t="s">
        <v>10</v>
      </c>
      <c r="C161" s="2">
        <v>17108647.739999998</v>
      </c>
    </row>
    <row r="162" spans="1:3" x14ac:dyDescent="0.25">
      <c r="A162" s="4">
        <v>43633</v>
      </c>
      <c r="B162" s="1" t="s">
        <v>11</v>
      </c>
      <c r="C162" s="1">
        <v>208960459.28</v>
      </c>
    </row>
    <row r="163" spans="1:3" x14ac:dyDescent="0.25">
      <c r="A163" s="5">
        <v>43671</v>
      </c>
      <c r="B163" s="2" t="s">
        <v>12</v>
      </c>
      <c r="C163" s="2">
        <v>62529421.130000003</v>
      </c>
    </row>
    <row r="164" spans="1:3" x14ac:dyDescent="0.25">
      <c r="A164" s="4">
        <v>43488</v>
      </c>
      <c r="B164" s="1" t="s">
        <v>13</v>
      </c>
      <c r="C164" s="1">
        <v>65195266.979999997</v>
      </c>
    </row>
    <row r="165" spans="1:3" x14ac:dyDescent="0.25">
      <c r="A165" s="5">
        <v>43536</v>
      </c>
      <c r="B165" s="2" t="s">
        <v>14</v>
      </c>
      <c r="C165" s="2">
        <v>275926866.86000001</v>
      </c>
    </row>
    <row r="166" spans="1:3" x14ac:dyDescent="0.25">
      <c r="A166" s="4">
        <v>43756</v>
      </c>
      <c r="B166" s="1" t="s">
        <v>15</v>
      </c>
      <c r="C166" s="1">
        <v>102969866.22</v>
      </c>
    </row>
    <row r="167" spans="1:3" x14ac:dyDescent="0.25">
      <c r="A167" s="5">
        <v>43537</v>
      </c>
      <c r="B167" s="2" t="s">
        <v>16</v>
      </c>
      <c r="C167" s="2">
        <v>124009342.53</v>
      </c>
    </row>
    <row r="168" spans="1:3" x14ac:dyDescent="0.25">
      <c r="A168" s="4">
        <v>43696</v>
      </c>
      <c r="B168" s="1" t="s">
        <v>17</v>
      </c>
      <c r="C168" s="1">
        <v>36367707.140000001</v>
      </c>
    </row>
    <row r="169" spans="1:3" x14ac:dyDescent="0.25">
      <c r="A169" s="5">
        <v>43763</v>
      </c>
      <c r="B169" s="2" t="s">
        <v>18</v>
      </c>
      <c r="C169" s="2">
        <v>64762458.039999999</v>
      </c>
    </row>
    <row r="170" spans="1:3" x14ac:dyDescent="0.25">
      <c r="A170" s="4">
        <v>43662</v>
      </c>
      <c r="B170" s="1" t="s">
        <v>19</v>
      </c>
      <c r="C170" s="1">
        <v>30951433.079999998</v>
      </c>
    </row>
    <row r="171" spans="1:3" x14ac:dyDescent="0.25">
      <c r="A171" s="5">
        <v>43766</v>
      </c>
      <c r="B171" s="2" t="s">
        <v>20</v>
      </c>
      <c r="C171" s="2">
        <v>554781902.25999999</v>
      </c>
    </row>
    <row r="172" spans="1:3" x14ac:dyDescent="0.25">
      <c r="A172" s="4">
        <v>43632</v>
      </c>
      <c r="B172" s="1" t="s">
        <v>21</v>
      </c>
      <c r="C172" s="1">
        <v>69111219.390000001</v>
      </c>
    </row>
    <row r="173" spans="1:3" x14ac:dyDescent="0.25">
      <c r="A173" s="5">
        <v>43698</v>
      </c>
      <c r="B173" s="2" t="s">
        <v>22</v>
      </c>
      <c r="C173" s="2">
        <v>79094469.280000001</v>
      </c>
    </row>
    <row r="174" spans="1:3" x14ac:dyDescent="0.25">
      <c r="A174" s="4">
        <v>43540</v>
      </c>
      <c r="B174" s="1" t="s">
        <v>23</v>
      </c>
      <c r="C174" s="1">
        <v>44031005.920000002</v>
      </c>
    </row>
    <row r="175" spans="1:3" x14ac:dyDescent="0.25">
      <c r="A175" s="5">
        <v>43728</v>
      </c>
      <c r="B175" s="2" t="s">
        <v>24</v>
      </c>
      <c r="C175" s="2">
        <v>30505748.280000001</v>
      </c>
    </row>
    <row r="176" spans="1:3" x14ac:dyDescent="0.25">
      <c r="A176" s="4">
        <v>43710</v>
      </c>
      <c r="B176" s="1" t="s">
        <v>25</v>
      </c>
      <c r="C176" s="1">
        <v>47103555.07</v>
      </c>
    </row>
    <row r="177" spans="1:3" x14ac:dyDescent="0.25">
      <c r="A177" s="5">
        <v>43514</v>
      </c>
      <c r="B177" s="2" t="s">
        <v>26</v>
      </c>
      <c r="C177" s="2">
        <v>1396190910.78</v>
      </c>
    </row>
    <row r="178" spans="1:3" x14ac:dyDescent="0.25">
      <c r="A178" s="4">
        <v>43605</v>
      </c>
      <c r="B178" s="1" t="s">
        <v>27</v>
      </c>
      <c r="C178" s="1">
        <v>57988645.439999998</v>
      </c>
    </row>
    <row r="179" spans="1:3" x14ac:dyDescent="0.25">
      <c r="A179" s="5">
        <v>43473</v>
      </c>
      <c r="B179" s="2" t="s">
        <v>28</v>
      </c>
      <c r="C179" s="2">
        <v>69992024.650000006</v>
      </c>
    </row>
    <row r="180" spans="1:3" x14ac:dyDescent="0.25">
      <c r="A180" s="4">
        <v>43510</v>
      </c>
      <c r="B180" s="1" t="s">
        <v>29</v>
      </c>
      <c r="C180" s="1">
        <v>100609253.25</v>
      </c>
    </row>
    <row r="181" spans="1:3" x14ac:dyDescent="0.25">
      <c r="A181" s="5">
        <v>43507</v>
      </c>
      <c r="B181" s="2" t="s">
        <v>30</v>
      </c>
      <c r="C181" s="2">
        <v>82810320.849999994</v>
      </c>
    </row>
    <row r="182" spans="1:3" x14ac:dyDescent="0.25">
      <c r="A182" s="4">
        <v>43536</v>
      </c>
      <c r="B182" s="1" t="s">
        <v>31</v>
      </c>
      <c r="C182" s="1">
        <v>95492075.290000007</v>
      </c>
    </row>
    <row r="183" spans="1:3" x14ac:dyDescent="0.25">
      <c r="A183" s="5">
        <v>43595</v>
      </c>
      <c r="B183" s="2" t="s">
        <v>32</v>
      </c>
      <c r="C183" s="2">
        <v>100197001.09999999</v>
      </c>
    </row>
    <row r="184" spans="1:3" x14ac:dyDescent="0.25">
      <c r="A184" s="4">
        <v>43620</v>
      </c>
      <c r="B184" s="1" t="s">
        <v>33</v>
      </c>
      <c r="C184" s="1">
        <v>32971563.18</v>
      </c>
    </row>
    <row r="185" spans="1:3" x14ac:dyDescent="0.25">
      <c r="A185" s="5">
        <v>43764</v>
      </c>
      <c r="B185" s="2" t="s">
        <v>34</v>
      </c>
      <c r="C185" s="2">
        <v>78427671.719999999</v>
      </c>
    </row>
    <row r="186" spans="1:3" x14ac:dyDescent="0.25">
      <c r="A186" s="4">
        <v>43502</v>
      </c>
      <c r="B186" s="1" t="s">
        <v>35</v>
      </c>
      <c r="C186" s="1">
        <v>37805958.759999998</v>
      </c>
    </row>
    <row r="187" spans="1:3" x14ac:dyDescent="0.25">
      <c r="A187" s="5">
        <v>43718</v>
      </c>
      <c r="B187" s="2" t="s">
        <v>36</v>
      </c>
      <c r="C187" s="2">
        <v>20933475.149999999</v>
      </c>
    </row>
    <row r="188" spans="1:3" x14ac:dyDescent="0.25">
      <c r="A188" s="4">
        <v>43615</v>
      </c>
      <c r="B188" s="1" t="s">
        <v>37</v>
      </c>
      <c r="C188" s="1">
        <v>26819652.57</v>
      </c>
    </row>
    <row r="189" spans="1:3" x14ac:dyDescent="0.25">
      <c r="A189" s="5">
        <v>43477</v>
      </c>
      <c r="B189" s="2" t="s">
        <v>38</v>
      </c>
      <c r="C189" s="2">
        <v>32505220.210000001</v>
      </c>
    </row>
    <row r="190" spans="1:3" x14ac:dyDescent="0.25">
      <c r="A190" s="4">
        <v>43693</v>
      </c>
      <c r="B190" s="1" t="s">
        <v>39</v>
      </c>
      <c r="C190" s="1">
        <v>30436592.620000001</v>
      </c>
    </row>
    <row r="191" spans="1:3" x14ac:dyDescent="0.25">
      <c r="A191" s="5">
        <v>43584</v>
      </c>
      <c r="B191" s="2" t="s">
        <v>40</v>
      </c>
      <c r="C191" s="2">
        <v>23111266354.25</v>
      </c>
    </row>
    <row r="192" spans="1:3" x14ac:dyDescent="0.25">
      <c r="A192" s="4">
        <v>43849</v>
      </c>
      <c r="B192" s="1" t="s">
        <v>3</v>
      </c>
      <c r="C192" s="1">
        <v>96792227.140000001</v>
      </c>
    </row>
    <row r="193" spans="1:3" x14ac:dyDescent="0.25">
      <c r="A193" s="5">
        <v>43908</v>
      </c>
      <c r="B193" s="2" t="s">
        <v>4</v>
      </c>
      <c r="C193" s="2">
        <v>109420356.2</v>
      </c>
    </row>
    <row r="194" spans="1:3" x14ac:dyDescent="0.25">
      <c r="A194" s="4">
        <v>43973</v>
      </c>
      <c r="B194" s="1" t="s">
        <v>5</v>
      </c>
      <c r="C194" s="1">
        <v>47926202.829999998</v>
      </c>
    </row>
    <row r="195" spans="1:3" x14ac:dyDescent="0.25">
      <c r="A195" s="5">
        <v>43841</v>
      </c>
      <c r="B195" s="2" t="s">
        <v>6</v>
      </c>
      <c r="C195" s="2">
        <v>108086817.3</v>
      </c>
    </row>
    <row r="196" spans="1:3" x14ac:dyDescent="0.25">
      <c r="A196" s="4">
        <v>43865</v>
      </c>
      <c r="B196" s="1" t="s">
        <v>7</v>
      </c>
      <c r="C196" s="1">
        <v>134910555.22999999</v>
      </c>
    </row>
    <row r="197" spans="1:3" x14ac:dyDescent="0.25">
      <c r="A197" s="5">
        <v>43848</v>
      </c>
      <c r="B197" s="2" t="s">
        <v>8</v>
      </c>
      <c r="C197" s="2">
        <v>62971785.960000001</v>
      </c>
    </row>
    <row r="198" spans="1:3" x14ac:dyDescent="0.25">
      <c r="A198" s="4">
        <v>43873</v>
      </c>
      <c r="B198" s="1" t="s">
        <v>9</v>
      </c>
      <c r="C198" s="1">
        <v>32500093.870000001</v>
      </c>
    </row>
    <row r="199" spans="1:3" x14ac:dyDescent="0.25">
      <c r="A199" s="5">
        <v>43954</v>
      </c>
      <c r="B199" s="2" t="s">
        <v>10</v>
      </c>
      <c r="C199" s="2">
        <v>20806178.109999999</v>
      </c>
    </row>
    <row r="200" spans="1:3" x14ac:dyDescent="0.25">
      <c r="A200" s="4">
        <v>43842</v>
      </c>
      <c r="B200" s="1" t="s">
        <v>11</v>
      </c>
      <c r="C200" s="1">
        <v>192476708.61000001</v>
      </c>
    </row>
    <row r="201" spans="1:3" x14ac:dyDescent="0.25">
      <c r="A201" s="5">
        <v>43966</v>
      </c>
      <c r="B201" s="2" t="s">
        <v>12</v>
      </c>
      <c r="C201" s="2">
        <v>62056418.729999997</v>
      </c>
    </row>
    <row r="202" spans="1:3" x14ac:dyDescent="0.25">
      <c r="A202" s="4">
        <v>43847</v>
      </c>
      <c r="B202" s="1" t="s">
        <v>13</v>
      </c>
      <c r="C202" s="1">
        <v>65949828.670000002</v>
      </c>
    </row>
    <row r="203" spans="1:3" x14ac:dyDescent="0.25">
      <c r="A203" s="5">
        <v>43979</v>
      </c>
      <c r="B203" s="2" t="s">
        <v>14</v>
      </c>
      <c r="C203" s="2">
        <v>280299984.39999998</v>
      </c>
    </row>
    <row r="204" spans="1:3" x14ac:dyDescent="0.25">
      <c r="A204" s="4">
        <v>43836</v>
      </c>
      <c r="B204" s="1" t="s">
        <v>15</v>
      </c>
      <c r="C204" s="1">
        <v>103033894.97</v>
      </c>
    </row>
    <row r="205" spans="1:3" x14ac:dyDescent="0.25">
      <c r="A205" s="5">
        <v>43903</v>
      </c>
      <c r="B205" s="2" t="s">
        <v>16</v>
      </c>
      <c r="C205" s="2">
        <v>124238597.23</v>
      </c>
    </row>
    <row r="206" spans="1:3" x14ac:dyDescent="0.25">
      <c r="A206" s="4">
        <v>43984</v>
      </c>
      <c r="B206" s="1" t="s">
        <v>17</v>
      </c>
      <c r="C206" s="1">
        <v>192476708.61000001</v>
      </c>
    </row>
    <row r="207" spans="1:3" x14ac:dyDescent="0.25">
      <c r="A207" s="5">
        <v>43971</v>
      </c>
      <c r="B207" s="2" t="s">
        <v>18</v>
      </c>
      <c r="C207" s="2">
        <v>96116538.75</v>
      </c>
    </row>
    <row r="208" spans="1:3" x14ac:dyDescent="0.25">
      <c r="A208" s="4">
        <v>43892</v>
      </c>
      <c r="B208" s="1" t="s">
        <v>19</v>
      </c>
      <c r="C208" s="1">
        <v>30918542.260000002</v>
      </c>
    </row>
    <row r="209" spans="1:3" x14ac:dyDescent="0.25">
      <c r="A209" s="5">
        <v>43838</v>
      </c>
      <c r="B209" s="2" t="s">
        <v>20</v>
      </c>
      <c r="C209" s="2">
        <v>567484870.17999995</v>
      </c>
    </row>
    <row r="210" spans="1:3" x14ac:dyDescent="0.25">
      <c r="A210" s="4">
        <v>43981</v>
      </c>
      <c r="B210" s="1" t="s">
        <v>21</v>
      </c>
      <c r="C210" s="1">
        <v>68402315.689999998</v>
      </c>
    </row>
    <row r="211" spans="1:3" x14ac:dyDescent="0.25">
      <c r="A211" s="5">
        <v>43908</v>
      </c>
      <c r="B211" s="2" t="s">
        <v>22</v>
      </c>
      <c r="C211" s="2">
        <v>56176014.329999998</v>
      </c>
    </row>
    <row r="212" spans="1:3" x14ac:dyDescent="0.25">
      <c r="A212" s="4">
        <v>43888</v>
      </c>
      <c r="B212" s="1" t="s">
        <v>23</v>
      </c>
      <c r="C212" s="1">
        <v>43608960.770000003</v>
      </c>
    </row>
    <row r="213" spans="1:3" x14ac:dyDescent="0.25">
      <c r="A213" s="5">
        <v>43991</v>
      </c>
      <c r="B213" s="2" t="s">
        <v>24</v>
      </c>
      <c r="C213" s="2">
        <v>30157822.27</v>
      </c>
    </row>
    <row r="214" spans="1:3" x14ac:dyDescent="0.25">
      <c r="A214" s="4">
        <v>43919</v>
      </c>
      <c r="B214" s="1" t="s">
        <v>25</v>
      </c>
      <c r="C214" s="1">
        <v>47063330.189999998</v>
      </c>
    </row>
    <row r="215" spans="1:3" x14ac:dyDescent="0.25">
      <c r="A215" s="5">
        <v>43924</v>
      </c>
      <c r="B215" s="2" t="s">
        <v>26</v>
      </c>
      <c r="C215" s="2">
        <v>1406484824.3</v>
      </c>
    </row>
    <row r="216" spans="1:3" x14ac:dyDescent="0.25">
      <c r="A216" s="4">
        <v>43985</v>
      </c>
      <c r="B216" s="1" t="s">
        <v>27</v>
      </c>
      <c r="C216" s="1">
        <v>58590484.119999997</v>
      </c>
    </row>
    <row r="217" spans="1:3" x14ac:dyDescent="0.25">
      <c r="A217" s="5">
        <v>43971</v>
      </c>
      <c r="B217" s="2" t="s">
        <v>28</v>
      </c>
      <c r="C217" s="2">
        <v>70950310.540000007</v>
      </c>
    </row>
    <row r="218" spans="1:3" x14ac:dyDescent="0.25">
      <c r="A218" s="4">
        <v>43872</v>
      </c>
      <c r="B218" s="1" t="s">
        <v>29</v>
      </c>
      <c r="C218" s="1">
        <v>103490522.67</v>
      </c>
    </row>
    <row r="219" spans="1:3" x14ac:dyDescent="0.25">
      <c r="A219" s="5">
        <v>43914</v>
      </c>
      <c r="B219" s="2" t="s">
        <v>30</v>
      </c>
      <c r="C219" s="2">
        <v>87433982.299999997</v>
      </c>
    </row>
    <row r="220" spans="1:3" x14ac:dyDescent="0.25">
      <c r="A220" s="4">
        <v>43978</v>
      </c>
      <c r="B220" s="1" t="s">
        <v>31</v>
      </c>
      <c r="C220" s="1">
        <v>107440069.62</v>
      </c>
    </row>
    <row r="221" spans="1:3" x14ac:dyDescent="0.25">
      <c r="A221" s="5">
        <v>43854</v>
      </c>
      <c r="B221" s="2" t="s">
        <v>32</v>
      </c>
      <c r="C221" s="2">
        <v>83700232.5</v>
      </c>
    </row>
    <row r="222" spans="1:3" x14ac:dyDescent="0.25">
      <c r="A222" s="4">
        <v>43947</v>
      </c>
      <c r="B222" s="1" t="s">
        <v>33</v>
      </c>
      <c r="C222" s="1">
        <v>37923856.780000001</v>
      </c>
    </row>
    <row r="223" spans="1:3" x14ac:dyDescent="0.25">
      <c r="A223" s="5">
        <v>43936</v>
      </c>
      <c r="B223" s="2" t="s">
        <v>34</v>
      </c>
      <c r="C223" s="2">
        <v>96696928.150000006</v>
      </c>
    </row>
    <row r="224" spans="1:3" x14ac:dyDescent="0.25">
      <c r="A224" s="4">
        <v>43874</v>
      </c>
      <c r="B224" s="1" t="s">
        <v>35</v>
      </c>
      <c r="C224" s="1">
        <v>37512923.170000002</v>
      </c>
    </row>
    <row r="225" spans="1:3" x14ac:dyDescent="0.25">
      <c r="A225" s="5">
        <v>43928</v>
      </c>
      <c r="B225" s="2" t="s">
        <v>36</v>
      </c>
      <c r="C225" s="2">
        <v>20794912.809999999</v>
      </c>
    </row>
    <row r="226" spans="1:3" x14ac:dyDescent="0.25">
      <c r="A226" s="4">
        <v>43874</v>
      </c>
      <c r="B226" s="1" t="s">
        <v>37</v>
      </c>
      <c r="C226" s="1">
        <v>26553798.34</v>
      </c>
    </row>
    <row r="227" spans="1:3" x14ac:dyDescent="0.25">
      <c r="A227" s="5">
        <v>43865</v>
      </c>
      <c r="B227" s="2" t="s">
        <v>38</v>
      </c>
      <c r="C227" s="2">
        <v>32084664.68</v>
      </c>
    </row>
    <row r="228" spans="1:3" x14ac:dyDescent="0.25">
      <c r="A228" s="4">
        <v>43923</v>
      </c>
      <c r="B228" s="1" t="s">
        <v>39</v>
      </c>
      <c r="C228" s="1">
        <v>30099692.77</v>
      </c>
    </row>
    <row r="229" spans="1:3" x14ac:dyDescent="0.25">
      <c r="A229" s="5">
        <v>43975</v>
      </c>
      <c r="B229" s="2" t="s">
        <v>40</v>
      </c>
      <c r="C229" s="2">
        <v>28574453967.84</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0F286-9C16-4FBD-884F-E9D3622CB51D}">
  <sheetPr codeName="Sheet9"/>
  <dimension ref="A1:C229"/>
  <sheetViews>
    <sheetView workbookViewId="0">
      <selection activeCell="M14" sqref="M14"/>
    </sheetView>
  </sheetViews>
  <sheetFormatPr defaultRowHeight="15" x14ac:dyDescent="0.25"/>
  <cols>
    <col min="1" max="1" width="10.7109375" bestFit="1" customWidth="1"/>
    <col min="2" max="2" width="21.140625" customWidth="1"/>
    <col min="3" max="3" width="19.140625" customWidth="1"/>
  </cols>
  <sheetData>
    <row r="1" spans="1:3" x14ac:dyDescent="0.25">
      <c r="A1" s="6" t="s">
        <v>0</v>
      </c>
      <c r="B1" s="6" t="s">
        <v>1</v>
      </c>
      <c r="C1" s="6" t="s">
        <v>2</v>
      </c>
    </row>
    <row r="2" spans="1:3" x14ac:dyDescent="0.25">
      <c r="A2" s="4">
        <v>42072</v>
      </c>
      <c r="B2" s="1" t="s">
        <v>3</v>
      </c>
      <c r="C2" s="1">
        <v>41502309.090000004</v>
      </c>
    </row>
    <row r="3" spans="1:3" x14ac:dyDescent="0.25">
      <c r="A3" s="5">
        <v>42024</v>
      </c>
      <c r="B3" s="2" t="s">
        <v>4</v>
      </c>
      <c r="C3" s="2">
        <v>42556440.810000002</v>
      </c>
    </row>
    <row r="4" spans="1:3" x14ac:dyDescent="0.25">
      <c r="A4" s="4">
        <v>42263</v>
      </c>
      <c r="B4" s="1" t="s">
        <v>5</v>
      </c>
      <c r="C4" s="1">
        <v>52717441.229999997</v>
      </c>
    </row>
    <row r="5" spans="1:3" x14ac:dyDescent="0.25">
      <c r="A5" s="5">
        <v>42189</v>
      </c>
      <c r="B5" s="2" t="s">
        <v>6</v>
      </c>
      <c r="C5" s="2">
        <v>60781525.579999998</v>
      </c>
    </row>
    <row r="6" spans="1:3" x14ac:dyDescent="0.25">
      <c r="A6" s="4">
        <v>42052</v>
      </c>
      <c r="B6" s="1" t="s">
        <v>7</v>
      </c>
      <c r="C6" s="1">
        <v>85335689.099999994</v>
      </c>
    </row>
    <row r="7" spans="1:3" x14ac:dyDescent="0.25">
      <c r="A7" s="5">
        <v>42315</v>
      </c>
      <c r="B7" s="2" t="s">
        <v>8</v>
      </c>
      <c r="C7" s="2">
        <v>37602856.359999999</v>
      </c>
    </row>
    <row r="8" spans="1:3" x14ac:dyDescent="0.25">
      <c r="A8" s="4">
        <v>42162</v>
      </c>
      <c r="B8" s="1" t="s">
        <v>9</v>
      </c>
      <c r="C8" s="1">
        <v>35700600.770000003</v>
      </c>
    </row>
    <row r="9" spans="1:3" x14ac:dyDescent="0.25">
      <c r="A9" s="5">
        <v>42268</v>
      </c>
      <c r="B9" s="2" t="s">
        <v>10</v>
      </c>
      <c r="C9" s="2">
        <v>23189858.239999998</v>
      </c>
    </row>
    <row r="10" spans="1:3" x14ac:dyDescent="0.25">
      <c r="A10" s="4">
        <v>42237</v>
      </c>
      <c r="B10" s="1" t="s">
        <v>11</v>
      </c>
      <c r="C10" s="1">
        <v>116403069.67</v>
      </c>
    </row>
    <row r="11" spans="1:3" x14ac:dyDescent="0.25">
      <c r="A11" s="5">
        <v>42280</v>
      </c>
      <c r="B11" s="2" t="s">
        <v>12</v>
      </c>
      <c r="C11" s="2">
        <v>38792421.969999999</v>
      </c>
    </row>
    <row r="12" spans="1:3" x14ac:dyDescent="0.25">
      <c r="A12" s="4">
        <v>42258</v>
      </c>
      <c r="B12" s="1" t="s">
        <v>13</v>
      </c>
      <c r="C12" s="1">
        <v>47166600.060000002</v>
      </c>
    </row>
    <row r="13" spans="1:3" x14ac:dyDescent="0.25">
      <c r="A13" s="5">
        <v>42224</v>
      </c>
      <c r="B13" s="2" t="s">
        <v>14</v>
      </c>
      <c r="C13" s="2">
        <v>168186197.47999999</v>
      </c>
    </row>
    <row r="14" spans="1:3" x14ac:dyDescent="0.25">
      <c r="A14" s="4">
        <v>42047</v>
      </c>
      <c r="B14" s="1" t="s">
        <v>15</v>
      </c>
      <c r="C14" s="1">
        <v>54982558.299999997</v>
      </c>
    </row>
    <row r="15" spans="1:3" x14ac:dyDescent="0.25">
      <c r="A15" s="5">
        <v>42291</v>
      </c>
      <c r="B15" s="2" t="s">
        <v>16</v>
      </c>
      <c r="C15" s="2">
        <v>65328840.619999997</v>
      </c>
    </row>
    <row r="16" spans="1:3" x14ac:dyDescent="0.25">
      <c r="A16" s="4">
        <v>42112</v>
      </c>
      <c r="B16" s="1" t="s">
        <v>17</v>
      </c>
      <c r="C16" s="1">
        <v>39822769.289999999</v>
      </c>
    </row>
    <row r="17" spans="1:3" x14ac:dyDescent="0.25">
      <c r="A17" s="5">
        <v>42293</v>
      </c>
      <c r="B17" s="2" t="s">
        <v>18</v>
      </c>
      <c r="C17" s="2">
        <v>59163843.119999997</v>
      </c>
    </row>
    <row r="18" spans="1:3" x14ac:dyDescent="0.25">
      <c r="A18" s="4">
        <v>42078</v>
      </c>
      <c r="B18" s="1" t="s">
        <v>19</v>
      </c>
      <c r="C18" s="1">
        <v>34085704.850000001</v>
      </c>
    </row>
    <row r="19" spans="1:3" x14ac:dyDescent="0.25">
      <c r="A19" s="5">
        <v>42100</v>
      </c>
      <c r="B19" s="2" t="s">
        <v>20</v>
      </c>
      <c r="C19" s="2">
        <v>226368167.93000001</v>
      </c>
    </row>
    <row r="20" spans="1:3" x14ac:dyDescent="0.25">
      <c r="A20" s="4">
        <v>42033</v>
      </c>
      <c r="B20" s="1" t="s">
        <v>21</v>
      </c>
      <c r="C20" s="1">
        <v>57612298.939999998</v>
      </c>
    </row>
    <row r="21" spans="1:3" x14ac:dyDescent="0.25">
      <c r="A21" s="5">
        <v>42256</v>
      </c>
      <c r="B21" s="2" t="s">
        <v>22</v>
      </c>
      <c r="C21" s="2">
        <v>72153818.010000005</v>
      </c>
    </row>
    <row r="22" spans="1:3" x14ac:dyDescent="0.25">
      <c r="A22" s="4">
        <v>42017</v>
      </c>
      <c r="B22" s="1" t="s">
        <v>23</v>
      </c>
      <c r="C22" s="1">
        <v>45275904.280000001</v>
      </c>
    </row>
    <row r="23" spans="1:3" x14ac:dyDescent="0.25">
      <c r="A23" s="5">
        <v>42265</v>
      </c>
      <c r="B23" s="2" t="s">
        <v>24</v>
      </c>
      <c r="C23" s="2">
        <v>33632106.659999996</v>
      </c>
    </row>
    <row r="24" spans="1:3" x14ac:dyDescent="0.25">
      <c r="A24" s="4">
        <v>42232</v>
      </c>
      <c r="B24" s="1" t="s">
        <v>25</v>
      </c>
      <c r="C24" s="1">
        <v>51032662.689999998</v>
      </c>
    </row>
    <row r="25" spans="1:3" x14ac:dyDescent="0.25">
      <c r="A25" s="5">
        <v>42246</v>
      </c>
      <c r="B25" s="2" t="s">
        <v>26</v>
      </c>
      <c r="C25" s="2">
        <v>1101400597.6500001</v>
      </c>
    </row>
    <row r="26" spans="1:3" x14ac:dyDescent="0.25">
      <c r="A26" s="4">
        <v>42011</v>
      </c>
      <c r="B26" s="1" t="s">
        <v>27</v>
      </c>
      <c r="C26" s="1">
        <v>53066146.920000002</v>
      </c>
    </row>
    <row r="27" spans="1:3" x14ac:dyDescent="0.25">
      <c r="A27" s="5">
        <v>42058</v>
      </c>
      <c r="B27" s="2" t="s">
        <v>28</v>
      </c>
      <c r="C27" s="2">
        <v>38280717.630000003</v>
      </c>
    </row>
    <row r="28" spans="1:3" x14ac:dyDescent="0.25">
      <c r="A28" s="4">
        <v>42135</v>
      </c>
      <c r="B28" s="1" t="s">
        <v>29</v>
      </c>
      <c r="C28" s="1">
        <v>103331349.94</v>
      </c>
    </row>
    <row r="29" spans="1:3" x14ac:dyDescent="0.25">
      <c r="A29" s="5">
        <v>42167</v>
      </c>
      <c r="B29" s="2" t="s">
        <v>30</v>
      </c>
      <c r="C29" s="2">
        <v>52089561.210000001</v>
      </c>
    </row>
    <row r="30" spans="1:3" x14ac:dyDescent="0.25">
      <c r="A30" s="4">
        <v>42050</v>
      </c>
      <c r="B30" s="1" t="s">
        <v>31</v>
      </c>
      <c r="C30" s="1">
        <v>69946131.150000006</v>
      </c>
    </row>
    <row r="31" spans="1:3" x14ac:dyDescent="0.25">
      <c r="A31" s="5">
        <v>42214</v>
      </c>
      <c r="B31" s="2" t="s">
        <v>32</v>
      </c>
      <c r="C31" s="2">
        <v>66754604.539999999</v>
      </c>
    </row>
    <row r="32" spans="1:3" x14ac:dyDescent="0.25">
      <c r="A32" s="4">
        <v>42293</v>
      </c>
      <c r="B32" s="1" t="s">
        <v>33</v>
      </c>
      <c r="C32" s="1">
        <v>30474421.989999998</v>
      </c>
    </row>
    <row r="33" spans="1:3" x14ac:dyDescent="0.25">
      <c r="A33" s="5">
        <v>42110</v>
      </c>
      <c r="B33" s="2" t="s">
        <v>34</v>
      </c>
      <c r="C33" s="2">
        <v>46922403.740000002</v>
      </c>
    </row>
    <row r="34" spans="1:3" x14ac:dyDescent="0.25">
      <c r="A34" s="4">
        <v>42268</v>
      </c>
      <c r="B34" s="1" t="s">
        <v>35</v>
      </c>
      <c r="C34" s="1">
        <v>41946527.109999999</v>
      </c>
    </row>
    <row r="35" spans="1:3" x14ac:dyDescent="0.25">
      <c r="A35" s="5">
        <v>42279</v>
      </c>
      <c r="B35" s="2" t="s">
        <v>36</v>
      </c>
      <c r="C35" s="2">
        <v>22934478.170000002</v>
      </c>
    </row>
    <row r="36" spans="1:3" x14ac:dyDescent="0.25">
      <c r="A36" s="4">
        <v>42195</v>
      </c>
      <c r="B36" s="1" t="s">
        <v>37</v>
      </c>
      <c r="C36" s="1">
        <v>30456120.370000001</v>
      </c>
    </row>
    <row r="37" spans="1:3" x14ac:dyDescent="0.25">
      <c r="A37" s="5">
        <v>42078</v>
      </c>
      <c r="B37" s="2" t="s">
        <v>38</v>
      </c>
      <c r="C37" s="2">
        <v>34919653.149999999</v>
      </c>
    </row>
    <row r="38" spans="1:3" x14ac:dyDescent="0.25">
      <c r="A38" s="4">
        <v>42154</v>
      </c>
      <c r="B38" s="1" t="s">
        <v>39</v>
      </c>
      <c r="C38" s="1">
        <v>35044755.920000002</v>
      </c>
    </row>
    <row r="39" spans="1:3" x14ac:dyDescent="0.25">
      <c r="A39" s="5">
        <v>42284</v>
      </c>
      <c r="B39" s="2" t="s">
        <v>40</v>
      </c>
      <c r="C39" s="2">
        <v>4343471023.8800001</v>
      </c>
    </row>
    <row r="40" spans="1:3" x14ac:dyDescent="0.25">
      <c r="A40" s="4">
        <v>42651</v>
      </c>
      <c r="B40" s="1" t="s">
        <v>3</v>
      </c>
      <c r="C40" s="1">
        <v>41290438.920000002</v>
      </c>
    </row>
    <row r="41" spans="1:3" x14ac:dyDescent="0.25">
      <c r="A41" s="5">
        <v>42545</v>
      </c>
      <c r="B41" s="2" t="s">
        <v>4</v>
      </c>
      <c r="C41" s="2">
        <v>77231530.909999996</v>
      </c>
    </row>
    <row r="42" spans="1:3" x14ac:dyDescent="0.25">
      <c r="A42" s="4">
        <v>42525</v>
      </c>
      <c r="B42" s="1" t="s">
        <v>5</v>
      </c>
      <c r="C42" s="1">
        <v>50555649.25</v>
      </c>
    </row>
    <row r="43" spans="1:3" x14ac:dyDescent="0.25">
      <c r="A43" s="5">
        <v>42513</v>
      </c>
      <c r="B43" s="2" t="s">
        <v>6</v>
      </c>
      <c r="C43" s="2">
        <v>62883387.469999999</v>
      </c>
    </row>
    <row r="44" spans="1:3" x14ac:dyDescent="0.25">
      <c r="A44" s="4">
        <v>42452</v>
      </c>
      <c r="B44" s="1" t="s">
        <v>7</v>
      </c>
      <c r="C44" s="1">
        <v>97174751.480000004</v>
      </c>
    </row>
    <row r="45" spans="1:3" x14ac:dyDescent="0.25">
      <c r="A45" s="5">
        <v>42409</v>
      </c>
      <c r="B45" s="2" t="s">
        <v>8</v>
      </c>
      <c r="C45" s="2">
        <v>39252787.659999996</v>
      </c>
    </row>
    <row r="46" spans="1:3" x14ac:dyDescent="0.25">
      <c r="A46" s="4">
        <v>42372</v>
      </c>
      <c r="B46" s="1" t="s">
        <v>9</v>
      </c>
      <c r="C46" s="1">
        <v>34683473.859999999</v>
      </c>
    </row>
    <row r="47" spans="1:3" x14ac:dyDescent="0.25">
      <c r="A47" s="5">
        <v>42503</v>
      </c>
      <c r="B47" s="2" t="s">
        <v>10</v>
      </c>
      <c r="C47" s="2">
        <v>22068385.039999999</v>
      </c>
    </row>
    <row r="48" spans="1:3" x14ac:dyDescent="0.25">
      <c r="A48" s="4">
        <v>42523</v>
      </c>
      <c r="B48" s="1" t="s">
        <v>11</v>
      </c>
      <c r="C48" s="1">
        <v>84995639.010000005</v>
      </c>
    </row>
    <row r="49" spans="1:3" x14ac:dyDescent="0.25">
      <c r="A49" s="5">
        <v>42630</v>
      </c>
      <c r="B49" s="2" t="s">
        <v>12</v>
      </c>
      <c r="C49" s="2">
        <v>42318066.030000001</v>
      </c>
    </row>
    <row r="50" spans="1:3" x14ac:dyDescent="0.25">
      <c r="A50" s="4">
        <v>42438</v>
      </c>
      <c r="B50" s="1" t="s">
        <v>13</v>
      </c>
      <c r="C50" s="1">
        <v>46383284.020000003</v>
      </c>
    </row>
    <row r="51" spans="1:3" x14ac:dyDescent="0.25">
      <c r="A51" s="5">
        <v>42585</v>
      </c>
      <c r="B51" s="2" t="s">
        <v>14</v>
      </c>
      <c r="C51" s="2">
        <v>183641998.74000001</v>
      </c>
    </row>
    <row r="52" spans="1:3" x14ac:dyDescent="0.25">
      <c r="A52" s="4">
        <v>42638</v>
      </c>
      <c r="B52" s="1" t="s">
        <v>15</v>
      </c>
      <c r="C52" s="1">
        <v>56877230.799999997</v>
      </c>
    </row>
    <row r="53" spans="1:3" x14ac:dyDescent="0.25">
      <c r="A53" s="5">
        <v>42567</v>
      </c>
      <c r="B53" s="2" t="s">
        <v>16</v>
      </c>
      <c r="C53" s="2">
        <v>67088934.020000003</v>
      </c>
    </row>
    <row r="54" spans="1:3" x14ac:dyDescent="0.25">
      <c r="A54" s="4">
        <v>42456</v>
      </c>
      <c r="B54" s="1" t="s">
        <v>17</v>
      </c>
      <c r="C54" s="1">
        <v>37841651.380000003</v>
      </c>
    </row>
    <row r="55" spans="1:3" x14ac:dyDescent="0.25">
      <c r="A55" s="5">
        <v>42503</v>
      </c>
      <c r="B55" s="2" t="s">
        <v>18</v>
      </c>
      <c r="C55" s="2">
        <v>60217190.979999997</v>
      </c>
    </row>
    <row r="56" spans="1:3" x14ac:dyDescent="0.25">
      <c r="A56" s="4">
        <v>42577</v>
      </c>
      <c r="B56" s="1" t="s">
        <v>19</v>
      </c>
      <c r="C56" s="1">
        <v>32415951.199999999</v>
      </c>
    </row>
    <row r="57" spans="1:3" x14ac:dyDescent="0.25">
      <c r="A57" s="5">
        <v>42614</v>
      </c>
      <c r="B57" s="2" t="s">
        <v>20</v>
      </c>
      <c r="C57" s="2">
        <v>222882926.46000001</v>
      </c>
    </row>
    <row r="58" spans="1:3" x14ac:dyDescent="0.25">
      <c r="A58" s="4">
        <v>42441</v>
      </c>
      <c r="B58" s="1" t="s">
        <v>21</v>
      </c>
      <c r="C58" s="1">
        <v>58247338.909999996</v>
      </c>
    </row>
    <row r="59" spans="1:3" x14ac:dyDescent="0.25">
      <c r="A59" s="5">
        <v>42664</v>
      </c>
      <c r="B59" s="2" t="s">
        <v>22</v>
      </c>
      <c r="C59" s="2">
        <v>68060334.709999993</v>
      </c>
    </row>
    <row r="60" spans="1:3" x14ac:dyDescent="0.25">
      <c r="A60" s="4">
        <v>42409</v>
      </c>
      <c r="B60" s="1" t="s">
        <v>23</v>
      </c>
      <c r="C60" s="1">
        <v>46101478.450000003</v>
      </c>
    </row>
    <row r="61" spans="1:3" x14ac:dyDescent="0.25">
      <c r="A61" s="5">
        <v>42510</v>
      </c>
      <c r="B61" s="2" t="s">
        <v>24</v>
      </c>
      <c r="C61" s="2">
        <v>31947420.16</v>
      </c>
    </row>
    <row r="62" spans="1:3" x14ac:dyDescent="0.25">
      <c r="A62" s="4">
        <v>42626</v>
      </c>
      <c r="B62" s="1" t="s">
        <v>25</v>
      </c>
      <c r="C62" s="1">
        <v>48975899.490000002</v>
      </c>
    </row>
    <row r="63" spans="1:3" x14ac:dyDescent="0.25">
      <c r="A63" s="5">
        <v>42556</v>
      </c>
      <c r="B63" s="2" t="s">
        <v>26</v>
      </c>
      <c r="C63" s="2">
        <v>1254150731.0899999</v>
      </c>
    </row>
    <row r="64" spans="1:3" x14ac:dyDescent="0.25">
      <c r="A64" s="4">
        <v>42646</v>
      </c>
      <c r="B64" s="1" t="s">
        <v>27</v>
      </c>
      <c r="C64" s="1">
        <v>56021853.270000003</v>
      </c>
    </row>
    <row r="65" spans="1:3" x14ac:dyDescent="0.25">
      <c r="A65" s="5">
        <v>42472</v>
      </c>
      <c r="B65" s="2" t="s">
        <v>28</v>
      </c>
      <c r="C65" s="2">
        <v>38849530.399999999</v>
      </c>
    </row>
    <row r="66" spans="1:3" x14ac:dyDescent="0.25">
      <c r="A66" s="4">
        <v>42476</v>
      </c>
      <c r="B66" s="1" t="s">
        <v>29</v>
      </c>
      <c r="C66" s="1">
        <v>98416368.769999996</v>
      </c>
    </row>
    <row r="67" spans="1:3" x14ac:dyDescent="0.25">
      <c r="A67" s="5">
        <v>42513</v>
      </c>
      <c r="B67" s="2" t="s">
        <v>30</v>
      </c>
      <c r="C67" s="2">
        <v>49527401.219999999</v>
      </c>
    </row>
    <row r="68" spans="1:3" x14ac:dyDescent="0.25">
      <c r="A68" s="4">
        <v>42615</v>
      </c>
      <c r="B68" s="1" t="s">
        <v>31</v>
      </c>
      <c r="C68" s="1">
        <v>58287856.789999999</v>
      </c>
    </row>
    <row r="69" spans="1:3" x14ac:dyDescent="0.25">
      <c r="A69" s="5">
        <v>42627</v>
      </c>
      <c r="B69" s="2" t="s">
        <v>32</v>
      </c>
      <c r="C69" s="2">
        <v>71913437.739999995</v>
      </c>
    </row>
    <row r="70" spans="1:3" x14ac:dyDescent="0.25">
      <c r="A70" s="4">
        <v>42574</v>
      </c>
      <c r="B70" s="1" t="s">
        <v>33</v>
      </c>
      <c r="C70" s="1">
        <v>29139067.379999999</v>
      </c>
    </row>
    <row r="71" spans="1:3" x14ac:dyDescent="0.25">
      <c r="A71" s="5">
        <v>42646</v>
      </c>
      <c r="B71" s="2" t="s">
        <v>34</v>
      </c>
      <c r="C71" s="2">
        <v>48256593.969999999</v>
      </c>
    </row>
    <row r="72" spans="1:3" x14ac:dyDescent="0.25">
      <c r="A72" s="4">
        <v>42391</v>
      </c>
      <c r="B72" s="1" t="s">
        <v>35</v>
      </c>
      <c r="C72" s="1">
        <v>39785679.950000003</v>
      </c>
    </row>
    <row r="73" spans="1:3" x14ac:dyDescent="0.25">
      <c r="A73" s="5">
        <v>42570</v>
      </c>
      <c r="B73" s="2" t="s">
        <v>36</v>
      </c>
      <c r="C73" s="2">
        <v>21926982.52</v>
      </c>
    </row>
    <row r="74" spans="1:3" x14ac:dyDescent="0.25">
      <c r="A74" s="4">
        <v>42596</v>
      </c>
      <c r="B74" s="1" t="s">
        <v>37</v>
      </c>
      <c r="C74" s="1">
        <v>28536278.899999999</v>
      </c>
    </row>
    <row r="75" spans="1:3" x14ac:dyDescent="0.25">
      <c r="A75" s="5">
        <v>42521</v>
      </c>
      <c r="B75" s="2" t="s">
        <v>38</v>
      </c>
      <c r="C75" s="2">
        <v>33614368.270000003</v>
      </c>
    </row>
    <row r="76" spans="1:3" x14ac:dyDescent="0.25">
      <c r="A76" s="4">
        <v>42526</v>
      </c>
      <c r="B76" s="1" t="s">
        <v>39</v>
      </c>
      <c r="C76" s="1">
        <v>32810348.600000001</v>
      </c>
    </row>
    <row r="77" spans="1:3" x14ac:dyDescent="0.25">
      <c r="A77" s="5">
        <v>42403</v>
      </c>
      <c r="B77" s="2" t="s">
        <v>40</v>
      </c>
      <c r="C77" s="2">
        <v>4613849622.1800003</v>
      </c>
    </row>
    <row r="78" spans="1:3" x14ac:dyDescent="0.25">
      <c r="A78" s="4">
        <v>42907</v>
      </c>
      <c r="B78" s="1" t="s">
        <v>3</v>
      </c>
      <c r="C78" s="1">
        <v>101486013.73999999</v>
      </c>
    </row>
    <row r="79" spans="1:3" x14ac:dyDescent="0.25">
      <c r="A79" s="5">
        <v>42921</v>
      </c>
      <c r="B79" s="2" t="s">
        <v>4</v>
      </c>
      <c r="C79" s="2">
        <v>88074331.400000006</v>
      </c>
    </row>
    <row r="80" spans="1:3" x14ac:dyDescent="0.25">
      <c r="A80" s="4">
        <v>42923</v>
      </c>
      <c r="B80" s="1" t="s">
        <v>5</v>
      </c>
      <c r="C80" s="1">
        <v>50523477.210000001</v>
      </c>
    </row>
    <row r="81" spans="1:3" x14ac:dyDescent="0.25">
      <c r="A81" s="5">
        <v>42848</v>
      </c>
      <c r="B81" s="2" t="s">
        <v>6</v>
      </c>
      <c r="C81" s="2">
        <v>85924044.730000004</v>
      </c>
    </row>
    <row r="82" spans="1:3" x14ac:dyDescent="0.25">
      <c r="A82" s="4">
        <v>42911</v>
      </c>
      <c r="B82" s="1" t="s">
        <v>7</v>
      </c>
      <c r="C82" s="1">
        <v>109828380.95999999</v>
      </c>
    </row>
    <row r="83" spans="1:3" x14ac:dyDescent="0.25">
      <c r="A83" s="5">
        <v>42857</v>
      </c>
      <c r="B83" s="2" t="s">
        <v>8</v>
      </c>
      <c r="C83" s="2">
        <v>47769179.560000002</v>
      </c>
    </row>
    <row r="84" spans="1:3" x14ac:dyDescent="0.25">
      <c r="A84" s="4">
        <v>42828</v>
      </c>
      <c r="B84" s="1" t="s">
        <v>9</v>
      </c>
      <c r="C84" s="1">
        <v>35503110.170000002</v>
      </c>
    </row>
    <row r="85" spans="1:3" x14ac:dyDescent="0.25">
      <c r="A85" s="5">
        <v>42811</v>
      </c>
      <c r="B85" s="2" t="s">
        <v>10</v>
      </c>
      <c r="C85" s="2">
        <v>22594569.699999999</v>
      </c>
    </row>
    <row r="86" spans="1:3" x14ac:dyDescent="0.25">
      <c r="A86" s="4">
        <v>42991</v>
      </c>
      <c r="B86" s="1" t="s">
        <v>11</v>
      </c>
      <c r="C86" s="1">
        <v>124022477.17</v>
      </c>
    </row>
    <row r="87" spans="1:3" x14ac:dyDescent="0.25">
      <c r="A87" s="5">
        <v>42909</v>
      </c>
      <c r="B87" s="2" t="s">
        <v>12</v>
      </c>
      <c r="C87" s="2">
        <v>58391491.079999998</v>
      </c>
    </row>
    <row r="88" spans="1:3" x14ac:dyDescent="0.25">
      <c r="A88" s="4">
        <v>42814</v>
      </c>
      <c r="B88" s="1" t="s">
        <v>13</v>
      </c>
      <c r="C88" s="1">
        <v>63373675.280000001</v>
      </c>
    </row>
    <row r="89" spans="1:3" x14ac:dyDescent="0.25">
      <c r="A89" s="5">
        <v>42999</v>
      </c>
      <c r="B89" s="2" t="s">
        <v>14</v>
      </c>
      <c r="C89" s="2">
        <v>232204507.94999999</v>
      </c>
    </row>
    <row r="90" spans="1:3" x14ac:dyDescent="0.25">
      <c r="A90" s="4">
        <v>42784</v>
      </c>
      <c r="B90" s="1" t="s">
        <v>15</v>
      </c>
      <c r="C90" s="1">
        <v>78053560.269999996</v>
      </c>
    </row>
    <row r="91" spans="1:3" x14ac:dyDescent="0.25">
      <c r="A91" s="5">
        <v>42849</v>
      </c>
      <c r="B91" s="2" t="s">
        <v>16</v>
      </c>
      <c r="C91" s="2">
        <v>126609100.89</v>
      </c>
    </row>
    <row r="92" spans="1:3" x14ac:dyDescent="0.25">
      <c r="A92" s="4">
        <v>42743</v>
      </c>
      <c r="B92" s="1" t="s">
        <v>17</v>
      </c>
      <c r="C92" s="1">
        <v>39194159.32</v>
      </c>
    </row>
    <row r="93" spans="1:3" x14ac:dyDescent="0.25">
      <c r="A93" s="5">
        <v>42764</v>
      </c>
      <c r="B93" s="2" t="s">
        <v>18</v>
      </c>
      <c r="C93" s="2">
        <v>62848234.689999998</v>
      </c>
    </row>
    <row r="94" spans="1:3" x14ac:dyDescent="0.25">
      <c r="A94" s="4">
        <v>42804</v>
      </c>
      <c r="B94" s="1" t="s">
        <v>19</v>
      </c>
      <c r="C94" s="1">
        <v>33497712.800000001</v>
      </c>
    </row>
    <row r="95" spans="1:3" x14ac:dyDescent="0.25">
      <c r="A95" s="5">
        <v>42767</v>
      </c>
      <c r="B95" s="2" t="s">
        <v>20</v>
      </c>
      <c r="C95" s="2">
        <v>238279089.97999999</v>
      </c>
    </row>
    <row r="96" spans="1:3" x14ac:dyDescent="0.25">
      <c r="A96" s="4">
        <v>42871</v>
      </c>
      <c r="B96" s="1" t="s">
        <v>21</v>
      </c>
      <c r="C96" s="1">
        <v>66534693.840000004</v>
      </c>
    </row>
    <row r="97" spans="1:3" x14ac:dyDescent="0.25">
      <c r="A97" s="5">
        <v>42834</v>
      </c>
      <c r="B97" s="2" t="s">
        <v>22</v>
      </c>
      <c r="C97" s="2">
        <v>67864607.659999996</v>
      </c>
    </row>
    <row r="98" spans="1:3" x14ac:dyDescent="0.25">
      <c r="A98" s="4">
        <v>42804</v>
      </c>
      <c r="B98" s="1" t="s">
        <v>23</v>
      </c>
      <c r="C98" s="1">
        <v>47820060.270000003</v>
      </c>
    </row>
    <row r="99" spans="1:3" x14ac:dyDescent="0.25">
      <c r="A99" s="5">
        <v>42862</v>
      </c>
      <c r="B99" s="2" t="s">
        <v>24</v>
      </c>
      <c r="C99" s="2">
        <v>33030039.02</v>
      </c>
    </row>
    <row r="100" spans="1:3" x14ac:dyDescent="0.25">
      <c r="A100" s="4">
        <v>42973</v>
      </c>
      <c r="B100" s="1" t="s">
        <v>25</v>
      </c>
      <c r="C100" s="1">
        <v>50726592.990000002</v>
      </c>
    </row>
    <row r="101" spans="1:3" x14ac:dyDescent="0.25">
      <c r="A101" s="5">
        <v>42872</v>
      </c>
      <c r="B101" s="2" t="s">
        <v>26</v>
      </c>
      <c r="C101" s="2">
        <v>1322334553.72</v>
      </c>
    </row>
    <row r="102" spans="1:3" x14ac:dyDescent="0.25">
      <c r="A102" s="4">
        <v>42957</v>
      </c>
      <c r="B102" s="1" t="s">
        <v>27</v>
      </c>
      <c r="C102" s="1">
        <v>62878628.369999997</v>
      </c>
    </row>
    <row r="103" spans="1:3" x14ac:dyDescent="0.25">
      <c r="A103" s="5">
        <v>42824</v>
      </c>
      <c r="B103" s="2" t="s">
        <v>28</v>
      </c>
      <c r="C103" s="2">
        <v>50322601.530000001</v>
      </c>
    </row>
    <row r="104" spans="1:3" x14ac:dyDescent="0.25">
      <c r="A104" s="4">
        <v>42826</v>
      </c>
      <c r="B104" s="1" t="s">
        <v>29</v>
      </c>
      <c r="C104" s="1">
        <v>102449174.8</v>
      </c>
    </row>
    <row r="105" spans="1:3" x14ac:dyDescent="0.25">
      <c r="A105" s="5">
        <v>42978</v>
      </c>
      <c r="B105" s="2" t="s">
        <v>30</v>
      </c>
      <c r="C105" s="2">
        <v>50251762.159999996</v>
      </c>
    </row>
    <row r="106" spans="1:3" x14ac:dyDescent="0.25">
      <c r="A106" s="4">
        <v>42749</v>
      </c>
      <c r="B106" s="1" t="s">
        <v>31</v>
      </c>
      <c r="C106" s="1">
        <v>84361397.379999995</v>
      </c>
    </row>
    <row r="107" spans="1:3" x14ac:dyDescent="0.25">
      <c r="A107" s="5">
        <v>42956</v>
      </c>
      <c r="B107" s="2" t="s">
        <v>32</v>
      </c>
      <c r="C107" s="2">
        <v>93218640.359999999</v>
      </c>
    </row>
    <row r="108" spans="1:3" x14ac:dyDescent="0.25">
      <c r="A108" s="4">
        <v>42784</v>
      </c>
      <c r="B108" s="1" t="s">
        <v>33</v>
      </c>
      <c r="C108" s="1">
        <v>30071776.510000002</v>
      </c>
    </row>
    <row r="109" spans="1:3" x14ac:dyDescent="0.25">
      <c r="A109" s="5">
        <v>42752</v>
      </c>
      <c r="B109" s="2" t="s">
        <v>34</v>
      </c>
      <c r="C109" s="2">
        <v>66766028.399999999</v>
      </c>
    </row>
    <row r="110" spans="1:3" x14ac:dyDescent="0.25">
      <c r="A110" s="4">
        <v>42852</v>
      </c>
      <c r="B110" s="1" t="s">
        <v>35</v>
      </c>
      <c r="C110" s="1">
        <v>41161222.600000001</v>
      </c>
    </row>
    <row r="111" spans="1:3" x14ac:dyDescent="0.25">
      <c r="A111" s="5">
        <v>42770</v>
      </c>
      <c r="B111" s="2" t="s">
        <v>36</v>
      </c>
      <c r="C111" s="2">
        <v>26563234.690000001</v>
      </c>
    </row>
    <row r="112" spans="1:3" x14ac:dyDescent="0.25">
      <c r="A112" s="4">
        <v>42891</v>
      </c>
      <c r="B112" s="1" t="s">
        <v>37</v>
      </c>
      <c r="C112" s="1">
        <v>29564923.260000002</v>
      </c>
    </row>
    <row r="113" spans="1:3" x14ac:dyDescent="0.25">
      <c r="A113" s="5">
        <v>42981</v>
      </c>
      <c r="B113" s="2" t="s">
        <v>38</v>
      </c>
      <c r="C113" s="2">
        <v>34833758.57</v>
      </c>
    </row>
    <row r="114" spans="1:3" x14ac:dyDescent="0.25">
      <c r="A114" s="4">
        <v>42800</v>
      </c>
      <c r="B114" s="1" t="s">
        <v>39</v>
      </c>
      <c r="C114" s="1">
        <v>33722464.82</v>
      </c>
    </row>
    <row r="115" spans="1:3" x14ac:dyDescent="0.25">
      <c r="A115" s="5">
        <v>42829</v>
      </c>
      <c r="B115" s="2" t="s">
        <v>40</v>
      </c>
      <c r="C115" s="2">
        <v>6348782322.1499996</v>
      </c>
    </row>
    <row r="116" spans="1:3" x14ac:dyDescent="0.25">
      <c r="A116" s="4">
        <v>43336</v>
      </c>
      <c r="B116" s="1" t="s">
        <v>3</v>
      </c>
      <c r="C116" s="1">
        <v>98582798.909999996</v>
      </c>
    </row>
    <row r="117" spans="1:3" x14ac:dyDescent="0.25">
      <c r="A117" s="5">
        <v>43346</v>
      </c>
      <c r="B117" s="2" t="s">
        <v>4</v>
      </c>
      <c r="C117" s="2">
        <v>91290423.730000004</v>
      </c>
    </row>
    <row r="118" spans="1:3" x14ac:dyDescent="0.25">
      <c r="A118" s="4">
        <v>43148</v>
      </c>
      <c r="B118" s="1" t="s">
        <v>5</v>
      </c>
      <c r="C118" s="1">
        <v>45657647.140000001</v>
      </c>
    </row>
    <row r="119" spans="1:3" x14ac:dyDescent="0.25">
      <c r="A119" s="5">
        <v>43208</v>
      </c>
      <c r="B119" s="2" t="s">
        <v>6</v>
      </c>
      <c r="C119" s="2">
        <v>107041487.48</v>
      </c>
    </row>
    <row r="120" spans="1:3" x14ac:dyDescent="0.25">
      <c r="A120" s="4">
        <v>43121</v>
      </c>
      <c r="B120" s="1" t="s">
        <v>7</v>
      </c>
      <c r="C120" s="1">
        <v>133930757.08</v>
      </c>
    </row>
    <row r="121" spans="1:3" x14ac:dyDescent="0.25">
      <c r="A121" s="5">
        <v>43141</v>
      </c>
      <c r="B121" s="2" t="s">
        <v>8</v>
      </c>
      <c r="C121" s="2">
        <v>56623178.710000001</v>
      </c>
    </row>
    <row r="122" spans="1:3" x14ac:dyDescent="0.25">
      <c r="A122" s="4">
        <v>43286</v>
      </c>
      <c r="B122" s="1" t="s">
        <v>9</v>
      </c>
      <c r="C122" s="1">
        <v>39610851.640000001</v>
      </c>
    </row>
    <row r="123" spans="1:3" x14ac:dyDescent="0.25">
      <c r="A123" s="5">
        <v>43287</v>
      </c>
      <c r="B123" s="2" t="s">
        <v>10</v>
      </c>
      <c r="C123" s="2">
        <v>21618240.109999999</v>
      </c>
    </row>
    <row r="124" spans="1:3" x14ac:dyDescent="0.25">
      <c r="A124" s="4">
        <v>43258</v>
      </c>
      <c r="B124" s="1" t="s">
        <v>11</v>
      </c>
      <c r="C124" s="1">
        <v>144873736.81</v>
      </c>
    </row>
    <row r="125" spans="1:3" x14ac:dyDescent="0.25">
      <c r="A125" s="5">
        <v>43183</v>
      </c>
      <c r="B125" s="2" t="s">
        <v>12</v>
      </c>
      <c r="C125" s="2">
        <v>63286948.43</v>
      </c>
    </row>
    <row r="126" spans="1:3" x14ac:dyDescent="0.25">
      <c r="A126" s="4">
        <v>43142</v>
      </c>
      <c r="B126" s="1" t="s">
        <v>13</v>
      </c>
      <c r="C126" s="1">
        <v>66653026.119999997</v>
      </c>
    </row>
    <row r="127" spans="1:3" x14ac:dyDescent="0.25">
      <c r="A127" s="5">
        <v>43185</v>
      </c>
      <c r="B127" s="2" t="s">
        <v>14</v>
      </c>
      <c r="C127" s="2">
        <v>276253922.95999998</v>
      </c>
    </row>
    <row r="128" spans="1:3" x14ac:dyDescent="0.25">
      <c r="A128" s="4">
        <v>43297</v>
      </c>
      <c r="B128" s="1" t="s">
        <v>15</v>
      </c>
      <c r="C128" s="1">
        <v>106208598.19</v>
      </c>
    </row>
    <row r="129" spans="1:3" x14ac:dyDescent="0.25">
      <c r="A129" s="5">
        <v>43244</v>
      </c>
      <c r="B129" s="2" t="s">
        <v>16</v>
      </c>
      <c r="C129" s="2">
        <v>119677662.23</v>
      </c>
    </row>
    <row r="130" spans="1:3" x14ac:dyDescent="0.25">
      <c r="A130" s="4">
        <v>43365</v>
      </c>
      <c r="B130" s="1" t="s">
        <v>17</v>
      </c>
      <c r="C130" s="1">
        <v>37406069.57</v>
      </c>
    </row>
    <row r="131" spans="1:3" x14ac:dyDescent="0.25">
      <c r="A131" s="5">
        <v>43223</v>
      </c>
      <c r="B131" s="2" t="s">
        <v>18</v>
      </c>
      <c r="C131" s="2">
        <v>59515586.619999997</v>
      </c>
    </row>
    <row r="132" spans="1:3" x14ac:dyDescent="0.25">
      <c r="A132" s="4">
        <v>43199</v>
      </c>
      <c r="B132" s="1" t="s">
        <v>19</v>
      </c>
      <c r="C132" s="1">
        <v>32008444.77</v>
      </c>
    </row>
    <row r="133" spans="1:3" x14ac:dyDescent="0.25">
      <c r="A133" s="5">
        <v>43160</v>
      </c>
      <c r="B133" s="2" t="s">
        <v>20</v>
      </c>
      <c r="C133" s="2">
        <v>227252685.58000001</v>
      </c>
    </row>
    <row r="134" spans="1:3" x14ac:dyDescent="0.25">
      <c r="A134" s="4">
        <v>43388</v>
      </c>
      <c r="B134" s="1" t="s">
        <v>21</v>
      </c>
      <c r="C134" s="1">
        <v>63409069.740000002</v>
      </c>
    </row>
    <row r="135" spans="1:3" x14ac:dyDescent="0.25">
      <c r="A135" s="5">
        <v>43304</v>
      </c>
      <c r="B135" s="2" t="s">
        <v>22</v>
      </c>
      <c r="C135" s="2">
        <v>62133706.899999999</v>
      </c>
    </row>
    <row r="136" spans="1:3" x14ac:dyDescent="0.25">
      <c r="A136" s="4">
        <v>43241</v>
      </c>
      <c r="B136" s="1" t="s">
        <v>23</v>
      </c>
      <c r="C136" s="1">
        <v>45605534.729999997</v>
      </c>
    </row>
    <row r="137" spans="1:3" x14ac:dyDescent="0.25">
      <c r="A137" s="5">
        <v>43113</v>
      </c>
      <c r="B137" s="2" t="s">
        <v>24</v>
      </c>
      <c r="C137" s="2">
        <v>31584158.359999999</v>
      </c>
    </row>
    <row r="138" spans="1:3" x14ac:dyDescent="0.25">
      <c r="A138" s="4">
        <v>43300</v>
      </c>
      <c r="B138" s="1" t="s">
        <v>25</v>
      </c>
      <c r="C138" s="1">
        <v>48599040.43</v>
      </c>
    </row>
    <row r="139" spans="1:3" x14ac:dyDescent="0.25">
      <c r="A139" s="5">
        <v>43140</v>
      </c>
      <c r="B139" s="2" t="s">
        <v>26</v>
      </c>
      <c r="C139" s="2">
        <v>1282598935.47</v>
      </c>
    </row>
    <row r="140" spans="1:3" x14ac:dyDescent="0.25">
      <c r="A140" s="4">
        <v>43164</v>
      </c>
      <c r="B140" s="1" t="s">
        <v>27</v>
      </c>
      <c r="C140" s="1">
        <v>59183665.509999998</v>
      </c>
    </row>
    <row r="141" spans="1:3" x14ac:dyDescent="0.25">
      <c r="A141" s="5">
        <v>43389</v>
      </c>
      <c r="B141" s="2" t="s">
        <v>28</v>
      </c>
      <c r="C141" s="2">
        <v>54845344.969999999</v>
      </c>
    </row>
    <row r="142" spans="1:3" x14ac:dyDescent="0.25">
      <c r="A142" s="4">
        <v>43209</v>
      </c>
      <c r="B142" s="1" t="s">
        <v>29</v>
      </c>
      <c r="C142" s="1">
        <v>98256042.180000007</v>
      </c>
    </row>
    <row r="143" spans="1:3" x14ac:dyDescent="0.25">
      <c r="A143" s="5">
        <v>43214</v>
      </c>
      <c r="B143" s="2" t="s">
        <v>30</v>
      </c>
      <c r="C143" s="2">
        <v>79854005.140000001</v>
      </c>
    </row>
    <row r="144" spans="1:3" x14ac:dyDescent="0.25">
      <c r="A144" s="4">
        <v>43327</v>
      </c>
      <c r="B144" s="1" t="s">
        <v>31</v>
      </c>
      <c r="C144" s="1">
        <v>86839417.370000005</v>
      </c>
    </row>
    <row r="145" spans="1:3" x14ac:dyDescent="0.25">
      <c r="A145" s="5">
        <v>43344</v>
      </c>
      <c r="B145" s="2" t="s">
        <v>32</v>
      </c>
      <c r="C145" s="2">
        <v>104997383.47</v>
      </c>
    </row>
    <row r="146" spans="1:3" x14ac:dyDescent="0.25">
      <c r="A146" s="4">
        <v>43195</v>
      </c>
      <c r="B146" s="1" t="s">
        <v>33</v>
      </c>
      <c r="C146" s="1">
        <v>28874208.629999999</v>
      </c>
    </row>
    <row r="147" spans="1:3" x14ac:dyDescent="0.25">
      <c r="A147" s="5">
        <v>43375</v>
      </c>
      <c r="B147" s="2" t="s">
        <v>34</v>
      </c>
      <c r="C147" s="2">
        <v>78278786.099999994</v>
      </c>
    </row>
    <row r="148" spans="1:3" x14ac:dyDescent="0.25">
      <c r="A148" s="4">
        <v>43228</v>
      </c>
      <c r="B148" s="1" t="s">
        <v>35</v>
      </c>
      <c r="C148" s="1">
        <v>39218901.039999999</v>
      </c>
    </row>
    <row r="149" spans="1:3" x14ac:dyDescent="0.25">
      <c r="A149" s="5">
        <v>43234</v>
      </c>
      <c r="B149" s="2" t="s">
        <v>36</v>
      </c>
      <c r="C149" s="2">
        <v>21611262.68</v>
      </c>
    </row>
    <row r="150" spans="1:3" x14ac:dyDescent="0.25">
      <c r="A150" s="4">
        <v>43260</v>
      </c>
      <c r="B150" s="1" t="s">
        <v>37</v>
      </c>
      <c r="C150" s="1">
        <v>27486482.07</v>
      </c>
    </row>
    <row r="151" spans="1:3" x14ac:dyDescent="0.25">
      <c r="A151" s="5">
        <v>43116</v>
      </c>
      <c r="B151" s="2" t="s">
        <v>38</v>
      </c>
      <c r="C151" s="2">
        <v>33524208.010000002</v>
      </c>
    </row>
    <row r="152" spans="1:3" x14ac:dyDescent="0.25">
      <c r="A152" s="4">
        <v>43225</v>
      </c>
      <c r="B152" s="1" t="s">
        <v>39</v>
      </c>
      <c r="C152" s="1">
        <v>31848844.120000001</v>
      </c>
    </row>
    <row r="153" spans="1:3" x14ac:dyDescent="0.25">
      <c r="A153" s="5">
        <v>43288</v>
      </c>
      <c r="B153" s="2" t="s">
        <v>40</v>
      </c>
      <c r="C153" s="2">
        <v>7008095136.9799995</v>
      </c>
    </row>
    <row r="154" spans="1:3" x14ac:dyDescent="0.25">
      <c r="A154" s="4">
        <v>43648</v>
      </c>
      <c r="B154" s="1" t="s">
        <v>3</v>
      </c>
      <c r="C154" s="1">
        <v>96590580.319999993</v>
      </c>
    </row>
    <row r="155" spans="1:3" x14ac:dyDescent="0.25">
      <c r="A155" s="5">
        <v>43583</v>
      </c>
      <c r="B155" s="2" t="s">
        <v>4</v>
      </c>
      <c r="C155" s="2">
        <v>102260507.98999999</v>
      </c>
    </row>
    <row r="156" spans="1:3" x14ac:dyDescent="0.25">
      <c r="A156" s="4">
        <v>43500</v>
      </c>
      <c r="B156" s="1" t="s">
        <v>5</v>
      </c>
      <c r="C156" s="1">
        <v>47975832.57</v>
      </c>
    </row>
    <row r="157" spans="1:3" x14ac:dyDescent="0.25">
      <c r="A157" s="5">
        <v>43570</v>
      </c>
      <c r="B157" s="2" t="s">
        <v>6</v>
      </c>
      <c r="C157" s="2">
        <v>108082910.62</v>
      </c>
    </row>
    <row r="158" spans="1:3" x14ac:dyDescent="0.25">
      <c r="A158" s="4">
        <v>43592</v>
      </c>
      <c r="B158" s="1" t="s">
        <v>7</v>
      </c>
      <c r="C158" s="1">
        <v>133895440.95</v>
      </c>
    </row>
    <row r="159" spans="1:3" x14ac:dyDescent="0.25">
      <c r="A159" s="5">
        <v>43601</v>
      </c>
      <c r="B159" s="2" t="s">
        <v>8</v>
      </c>
      <c r="C159" s="2">
        <v>59551021.219999999</v>
      </c>
    </row>
    <row r="160" spans="1:3" x14ac:dyDescent="0.25">
      <c r="A160" s="4">
        <v>43684</v>
      </c>
      <c r="B160" s="1" t="s">
        <v>9</v>
      </c>
      <c r="C160" s="1">
        <v>33423734.609999999</v>
      </c>
    </row>
    <row r="161" spans="1:3" x14ac:dyDescent="0.25">
      <c r="A161" s="5">
        <v>43568</v>
      </c>
      <c r="B161" s="2" t="s">
        <v>10</v>
      </c>
      <c r="C161" s="2">
        <v>17108647.739999998</v>
      </c>
    </row>
    <row r="162" spans="1:3" x14ac:dyDescent="0.25">
      <c r="A162" s="4">
        <v>43633</v>
      </c>
      <c r="B162" s="1" t="s">
        <v>11</v>
      </c>
      <c r="C162" s="1">
        <v>146602110.12</v>
      </c>
    </row>
    <row r="163" spans="1:3" x14ac:dyDescent="0.25">
      <c r="A163" s="5">
        <v>43671</v>
      </c>
      <c r="B163" s="2" t="s">
        <v>12</v>
      </c>
      <c r="C163" s="2">
        <v>62529421.130000003</v>
      </c>
    </row>
    <row r="164" spans="1:3" x14ac:dyDescent="0.25">
      <c r="A164" s="4">
        <v>43488</v>
      </c>
      <c r="B164" s="1" t="s">
        <v>13</v>
      </c>
      <c r="C164" s="1">
        <v>65195266.979999997</v>
      </c>
    </row>
    <row r="165" spans="1:3" x14ac:dyDescent="0.25">
      <c r="A165" s="5">
        <v>43536</v>
      </c>
      <c r="B165" s="2" t="s">
        <v>14</v>
      </c>
      <c r="C165" s="2">
        <v>275926866.86000001</v>
      </c>
    </row>
    <row r="166" spans="1:3" x14ac:dyDescent="0.25">
      <c r="A166" s="4">
        <v>43756</v>
      </c>
      <c r="B166" s="1" t="s">
        <v>15</v>
      </c>
      <c r="C166" s="1">
        <v>102969866.22</v>
      </c>
    </row>
    <row r="167" spans="1:3" x14ac:dyDescent="0.25">
      <c r="A167" s="5">
        <v>43537</v>
      </c>
      <c r="B167" s="2" t="s">
        <v>16</v>
      </c>
      <c r="C167" s="2">
        <v>117509342.53</v>
      </c>
    </row>
    <row r="168" spans="1:3" x14ac:dyDescent="0.25">
      <c r="A168" s="4">
        <v>43696</v>
      </c>
      <c r="B168" s="1" t="s">
        <v>17</v>
      </c>
      <c r="C168" s="1">
        <v>36367707.140000001</v>
      </c>
    </row>
    <row r="169" spans="1:3" x14ac:dyDescent="0.25">
      <c r="A169" s="5">
        <v>43763</v>
      </c>
      <c r="B169" s="2" t="s">
        <v>18</v>
      </c>
      <c r="C169" s="2">
        <v>57762458.039999999</v>
      </c>
    </row>
    <row r="170" spans="1:3" x14ac:dyDescent="0.25">
      <c r="A170" s="4">
        <v>43662</v>
      </c>
      <c r="B170" s="1" t="s">
        <v>19</v>
      </c>
      <c r="C170" s="1">
        <v>30951433.079999998</v>
      </c>
    </row>
    <row r="171" spans="1:3" x14ac:dyDescent="0.25">
      <c r="A171" s="5">
        <v>43766</v>
      </c>
      <c r="B171" s="2" t="s">
        <v>20</v>
      </c>
      <c r="C171" s="2">
        <v>541103168.15999997</v>
      </c>
    </row>
    <row r="172" spans="1:3" x14ac:dyDescent="0.25">
      <c r="A172" s="4">
        <v>43632</v>
      </c>
      <c r="B172" s="1" t="s">
        <v>21</v>
      </c>
      <c r="C172" s="1">
        <v>65741619.390000001</v>
      </c>
    </row>
    <row r="173" spans="1:3" x14ac:dyDescent="0.25">
      <c r="A173" s="5">
        <v>43698</v>
      </c>
      <c r="B173" s="2" t="s">
        <v>22</v>
      </c>
      <c r="C173" s="2">
        <v>79094469.280000001</v>
      </c>
    </row>
    <row r="174" spans="1:3" x14ac:dyDescent="0.25">
      <c r="A174" s="4">
        <v>43540</v>
      </c>
      <c r="B174" s="1" t="s">
        <v>23</v>
      </c>
      <c r="C174" s="1">
        <v>44031005.920000002</v>
      </c>
    </row>
    <row r="175" spans="1:3" x14ac:dyDescent="0.25">
      <c r="A175" s="5">
        <v>43728</v>
      </c>
      <c r="B175" s="2" t="s">
        <v>24</v>
      </c>
      <c r="C175" s="2">
        <v>30505748.280000001</v>
      </c>
    </row>
    <row r="176" spans="1:3" x14ac:dyDescent="0.25">
      <c r="A176" s="4">
        <v>43710</v>
      </c>
      <c r="B176" s="1" t="s">
        <v>25</v>
      </c>
      <c r="C176" s="1">
        <v>47103555.07</v>
      </c>
    </row>
    <row r="177" spans="1:3" x14ac:dyDescent="0.25">
      <c r="A177" s="5">
        <v>43514</v>
      </c>
      <c r="B177" s="2" t="s">
        <v>26</v>
      </c>
      <c r="C177" s="2">
        <v>1263899372.3199999</v>
      </c>
    </row>
    <row r="178" spans="1:3" x14ac:dyDescent="0.25">
      <c r="A178" s="4">
        <v>43605</v>
      </c>
      <c r="B178" s="1" t="s">
        <v>27</v>
      </c>
      <c r="C178" s="1">
        <v>57988645.439999998</v>
      </c>
    </row>
    <row r="179" spans="1:3" x14ac:dyDescent="0.25">
      <c r="A179" s="5">
        <v>43473</v>
      </c>
      <c r="B179" s="2" t="s">
        <v>28</v>
      </c>
      <c r="C179" s="2">
        <v>57492024.649999999</v>
      </c>
    </row>
    <row r="180" spans="1:3" x14ac:dyDescent="0.25">
      <c r="A180" s="4">
        <v>43510</v>
      </c>
      <c r="B180" s="1" t="s">
        <v>29</v>
      </c>
      <c r="C180" s="1">
        <v>95609253.25</v>
      </c>
    </row>
    <row r="181" spans="1:3" x14ac:dyDescent="0.25">
      <c r="A181" s="5">
        <v>43507</v>
      </c>
      <c r="B181" s="2" t="s">
        <v>30</v>
      </c>
      <c r="C181" s="2">
        <v>77810320.849999994</v>
      </c>
    </row>
    <row r="182" spans="1:3" x14ac:dyDescent="0.25">
      <c r="A182" s="4">
        <v>43536</v>
      </c>
      <c r="B182" s="1" t="s">
        <v>31</v>
      </c>
      <c r="C182" s="1">
        <v>83246086.290000007</v>
      </c>
    </row>
    <row r="183" spans="1:3" x14ac:dyDescent="0.25">
      <c r="A183" s="5">
        <v>43595</v>
      </c>
      <c r="B183" s="2" t="s">
        <v>32</v>
      </c>
      <c r="C183" s="2">
        <v>100197001.09999999</v>
      </c>
    </row>
    <row r="184" spans="1:3" x14ac:dyDescent="0.25">
      <c r="A184" s="4">
        <v>43620</v>
      </c>
      <c r="B184" s="1" t="s">
        <v>33</v>
      </c>
      <c r="C184" s="1">
        <v>27971563.18</v>
      </c>
    </row>
    <row r="185" spans="1:3" x14ac:dyDescent="0.25">
      <c r="A185" s="5">
        <v>43764</v>
      </c>
      <c r="B185" s="2" t="s">
        <v>34</v>
      </c>
      <c r="C185" s="2">
        <v>78427671.719999999</v>
      </c>
    </row>
    <row r="186" spans="1:3" x14ac:dyDescent="0.25">
      <c r="A186" s="4">
        <v>43502</v>
      </c>
      <c r="B186" s="1" t="s">
        <v>35</v>
      </c>
      <c r="C186" s="1">
        <v>37805958.759999998</v>
      </c>
    </row>
    <row r="187" spans="1:3" x14ac:dyDescent="0.25">
      <c r="A187" s="5">
        <v>43718</v>
      </c>
      <c r="B187" s="2" t="s">
        <v>36</v>
      </c>
      <c r="C187" s="2">
        <v>20933475.149999999</v>
      </c>
    </row>
    <row r="188" spans="1:3" x14ac:dyDescent="0.25">
      <c r="A188" s="4">
        <v>43615</v>
      </c>
      <c r="B188" s="1" t="s">
        <v>37</v>
      </c>
      <c r="C188" s="1">
        <v>26819652.57</v>
      </c>
    </row>
    <row r="189" spans="1:3" x14ac:dyDescent="0.25">
      <c r="A189" s="5">
        <v>43477</v>
      </c>
      <c r="B189" s="2" t="s">
        <v>38</v>
      </c>
      <c r="C189" s="2">
        <v>32505220.210000001</v>
      </c>
    </row>
    <row r="190" spans="1:3" x14ac:dyDescent="0.25">
      <c r="A190" s="4">
        <v>43693</v>
      </c>
      <c r="B190" s="1" t="s">
        <v>39</v>
      </c>
      <c r="C190" s="1">
        <v>30436592.620000001</v>
      </c>
    </row>
    <row r="191" spans="1:3" x14ac:dyDescent="0.25">
      <c r="A191" s="5">
        <v>43584</v>
      </c>
      <c r="B191" s="2" t="s">
        <v>40</v>
      </c>
      <c r="C191" s="2">
        <v>8366951950.6700001</v>
      </c>
    </row>
    <row r="192" spans="1:3" x14ac:dyDescent="0.25">
      <c r="A192" s="4">
        <v>43849</v>
      </c>
      <c r="B192" s="1" t="s">
        <v>3</v>
      </c>
      <c r="C192" s="1">
        <v>96792227.140000001</v>
      </c>
    </row>
    <row r="193" spans="1:3" x14ac:dyDescent="0.25">
      <c r="A193" s="5">
        <v>43908</v>
      </c>
      <c r="B193" s="2" t="s">
        <v>4</v>
      </c>
      <c r="C193" s="2">
        <v>102920356.2</v>
      </c>
    </row>
    <row r="194" spans="1:3" x14ac:dyDescent="0.25">
      <c r="A194" s="4">
        <v>43973</v>
      </c>
      <c r="B194" s="1" t="s">
        <v>5</v>
      </c>
      <c r="C194" s="1">
        <v>47926202.829999998</v>
      </c>
    </row>
    <row r="195" spans="1:3" x14ac:dyDescent="0.25">
      <c r="A195" s="5">
        <v>43841</v>
      </c>
      <c r="B195" s="2" t="s">
        <v>6</v>
      </c>
      <c r="C195" s="2">
        <v>108086817.3</v>
      </c>
    </row>
    <row r="196" spans="1:3" x14ac:dyDescent="0.25">
      <c r="A196" s="4">
        <v>43865</v>
      </c>
      <c r="B196" s="1" t="s">
        <v>7</v>
      </c>
      <c r="C196" s="1">
        <v>134910555.22999999</v>
      </c>
    </row>
    <row r="197" spans="1:3" x14ac:dyDescent="0.25">
      <c r="A197" s="5">
        <v>43848</v>
      </c>
      <c r="B197" s="2" t="s">
        <v>8</v>
      </c>
      <c r="C197" s="2">
        <v>62971785.960000001</v>
      </c>
    </row>
    <row r="198" spans="1:3" x14ac:dyDescent="0.25">
      <c r="A198" s="4">
        <v>43873</v>
      </c>
      <c r="B198" s="1" t="s">
        <v>9</v>
      </c>
      <c r="C198" s="1">
        <v>32500093.870000001</v>
      </c>
    </row>
    <row r="199" spans="1:3" x14ac:dyDescent="0.25">
      <c r="A199" s="5">
        <v>43954</v>
      </c>
      <c r="B199" s="2" t="s">
        <v>10</v>
      </c>
      <c r="C199" s="2">
        <v>20806178.109999999</v>
      </c>
    </row>
    <row r="200" spans="1:3" x14ac:dyDescent="0.25">
      <c r="A200" s="4">
        <v>43842</v>
      </c>
      <c r="B200" s="1" t="s">
        <v>11</v>
      </c>
      <c r="C200" s="1">
        <v>127112266.43000001</v>
      </c>
    </row>
    <row r="201" spans="1:3" x14ac:dyDescent="0.25">
      <c r="A201" s="5">
        <v>43966</v>
      </c>
      <c r="B201" s="2" t="s">
        <v>12</v>
      </c>
      <c r="C201" s="2">
        <v>62056418.729999997</v>
      </c>
    </row>
    <row r="202" spans="1:3" x14ac:dyDescent="0.25">
      <c r="A202" s="4">
        <v>43847</v>
      </c>
      <c r="B202" s="1" t="s">
        <v>13</v>
      </c>
      <c r="C202" s="1">
        <v>65949828.670000002</v>
      </c>
    </row>
    <row r="203" spans="1:3" x14ac:dyDescent="0.25">
      <c r="A203" s="5">
        <v>43979</v>
      </c>
      <c r="B203" s="2" t="s">
        <v>14</v>
      </c>
      <c r="C203" s="2">
        <v>280299984.39999998</v>
      </c>
    </row>
    <row r="204" spans="1:3" x14ac:dyDescent="0.25">
      <c r="A204" s="4">
        <v>43836</v>
      </c>
      <c r="B204" s="1" t="s">
        <v>15</v>
      </c>
      <c r="C204" s="1">
        <v>103033894.97</v>
      </c>
    </row>
    <row r="205" spans="1:3" x14ac:dyDescent="0.25">
      <c r="A205" s="5">
        <v>43903</v>
      </c>
      <c r="B205" s="2" t="s">
        <v>16</v>
      </c>
      <c r="C205" s="2">
        <v>117738597.23</v>
      </c>
    </row>
    <row r="206" spans="1:3" x14ac:dyDescent="0.25">
      <c r="A206" s="4">
        <v>43984</v>
      </c>
      <c r="B206" s="1" t="s">
        <v>17</v>
      </c>
      <c r="C206" s="1">
        <v>192476708.61000001</v>
      </c>
    </row>
    <row r="207" spans="1:3" x14ac:dyDescent="0.25">
      <c r="A207" s="5">
        <v>43971</v>
      </c>
      <c r="B207" s="2" t="s">
        <v>18</v>
      </c>
      <c r="C207" s="2">
        <v>68205020.870000005</v>
      </c>
    </row>
    <row r="208" spans="1:3" x14ac:dyDescent="0.25">
      <c r="A208" s="4">
        <v>43892</v>
      </c>
      <c r="B208" s="1" t="s">
        <v>19</v>
      </c>
      <c r="C208" s="1">
        <v>30918542.260000002</v>
      </c>
    </row>
    <row r="209" spans="1:3" x14ac:dyDescent="0.25">
      <c r="A209" s="5">
        <v>43838</v>
      </c>
      <c r="B209" s="2" t="s">
        <v>20</v>
      </c>
      <c r="C209" s="2">
        <v>551949178.00999999</v>
      </c>
    </row>
    <row r="210" spans="1:3" x14ac:dyDescent="0.25">
      <c r="A210" s="4">
        <v>43981</v>
      </c>
      <c r="B210" s="1" t="s">
        <v>21</v>
      </c>
      <c r="C210" s="1">
        <v>65032715.689999998</v>
      </c>
    </row>
    <row r="211" spans="1:3" x14ac:dyDescent="0.25">
      <c r="A211" s="5">
        <v>43908</v>
      </c>
      <c r="B211" s="2" t="s">
        <v>22</v>
      </c>
      <c r="C211" s="2">
        <v>56176014.329999998</v>
      </c>
    </row>
    <row r="212" spans="1:3" x14ac:dyDescent="0.25">
      <c r="A212" s="4">
        <v>43888</v>
      </c>
      <c r="B212" s="1" t="s">
        <v>23</v>
      </c>
      <c r="C212" s="1">
        <v>43608960.770000003</v>
      </c>
    </row>
    <row r="213" spans="1:3" x14ac:dyDescent="0.25">
      <c r="A213" s="5">
        <v>43991</v>
      </c>
      <c r="B213" s="2" t="s">
        <v>24</v>
      </c>
      <c r="C213" s="2">
        <v>30157822.27</v>
      </c>
    </row>
    <row r="214" spans="1:3" x14ac:dyDescent="0.25">
      <c r="A214" s="4">
        <v>43919</v>
      </c>
      <c r="B214" s="1" t="s">
        <v>25</v>
      </c>
      <c r="C214" s="1">
        <v>47063330.189999998</v>
      </c>
    </row>
    <row r="215" spans="1:3" x14ac:dyDescent="0.25">
      <c r="A215" s="5">
        <v>43924</v>
      </c>
      <c r="B215" s="2" t="s">
        <v>26</v>
      </c>
      <c r="C215" s="2">
        <v>1262654824.3</v>
      </c>
    </row>
    <row r="216" spans="1:3" x14ac:dyDescent="0.25">
      <c r="A216" s="4">
        <v>43985</v>
      </c>
      <c r="B216" s="1" t="s">
        <v>27</v>
      </c>
      <c r="C216" s="1">
        <v>58590484.119999997</v>
      </c>
    </row>
    <row r="217" spans="1:3" x14ac:dyDescent="0.25">
      <c r="A217" s="5">
        <v>43971</v>
      </c>
      <c r="B217" s="2" t="s">
        <v>28</v>
      </c>
      <c r="C217" s="2">
        <v>58450310.539999999</v>
      </c>
    </row>
    <row r="218" spans="1:3" x14ac:dyDescent="0.25">
      <c r="A218" s="4">
        <v>43872</v>
      </c>
      <c r="B218" s="1" t="s">
        <v>29</v>
      </c>
      <c r="C218" s="1">
        <v>95195922.670000002</v>
      </c>
    </row>
    <row r="219" spans="1:3" x14ac:dyDescent="0.25">
      <c r="A219" s="5">
        <v>43914</v>
      </c>
      <c r="B219" s="2" t="s">
        <v>30</v>
      </c>
      <c r="C219" s="2">
        <v>82433982.299999997</v>
      </c>
    </row>
    <row r="220" spans="1:3" x14ac:dyDescent="0.25">
      <c r="A220" s="4">
        <v>43978</v>
      </c>
      <c r="B220" s="1" t="s">
        <v>31</v>
      </c>
      <c r="C220" s="1">
        <v>95194080.620000005</v>
      </c>
    </row>
    <row r="221" spans="1:3" x14ac:dyDescent="0.25">
      <c r="A221" s="5">
        <v>43854</v>
      </c>
      <c r="B221" s="2" t="s">
        <v>32</v>
      </c>
      <c r="C221" s="2">
        <v>83700232.5</v>
      </c>
    </row>
    <row r="222" spans="1:3" x14ac:dyDescent="0.25">
      <c r="A222" s="4">
        <v>43947</v>
      </c>
      <c r="B222" s="1" t="s">
        <v>33</v>
      </c>
      <c r="C222" s="1">
        <v>32923856.780000001</v>
      </c>
    </row>
    <row r="223" spans="1:3" x14ac:dyDescent="0.25">
      <c r="A223" s="5">
        <v>43936</v>
      </c>
      <c r="B223" s="2" t="s">
        <v>34</v>
      </c>
      <c r="C223" s="2">
        <v>96696928.150000006</v>
      </c>
    </row>
    <row r="224" spans="1:3" x14ac:dyDescent="0.25">
      <c r="A224" s="4">
        <v>43874</v>
      </c>
      <c r="B224" s="1" t="s">
        <v>35</v>
      </c>
      <c r="C224" s="1">
        <v>37512923.170000002</v>
      </c>
    </row>
    <row r="225" spans="1:3" x14ac:dyDescent="0.25">
      <c r="A225" s="5">
        <v>43928</v>
      </c>
      <c r="B225" s="2" t="s">
        <v>36</v>
      </c>
      <c r="C225" s="2">
        <v>20794912.809999999</v>
      </c>
    </row>
    <row r="226" spans="1:3" x14ac:dyDescent="0.25">
      <c r="A226" s="4">
        <v>43874</v>
      </c>
      <c r="B226" s="1" t="s">
        <v>37</v>
      </c>
      <c r="C226" s="1">
        <v>26553798.34</v>
      </c>
    </row>
    <row r="227" spans="1:3" x14ac:dyDescent="0.25">
      <c r="A227" s="5">
        <v>43865</v>
      </c>
      <c r="B227" s="2" t="s">
        <v>38</v>
      </c>
      <c r="C227" s="2">
        <v>32084664.68</v>
      </c>
    </row>
    <row r="228" spans="1:3" x14ac:dyDescent="0.25">
      <c r="A228" s="4">
        <v>43923</v>
      </c>
      <c r="B228" s="1" t="s">
        <v>39</v>
      </c>
      <c r="C228" s="1">
        <v>30099692.77</v>
      </c>
    </row>
    <row r="229" spans="1:3" x14ac:dyDescent="0.25">
      <c r="A229" s="5">
        <v>43975</v>
      </c>
      <c r="B229" s="2" t="s">
        <v>40</v>
      </c>
      <c r="C229" s="2">
        <v>13472068716.67</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32BFF-0A50-4512-BC4B-8FA11EB05597}">
  <sheetPr codeName="Sheet1"/>
  <dimension ref="A1:B39"/>
  <sheetViews>
    <sheetView workbookViewId="0">
      <selection activeCell="B7" sqref="B7"/>
    </sheetView>
  </sheetViews>
  <sheetFormatPr defaultRowHeight="15" x14ac:dyDescent="0.25"/>
  <cols>
    <col min="2" max="2" width="13.28515625" customWidth="1"/>
  </cols>
  <sheetData>
    <row r="1" spans="1:2" x14ac:dyDescent="0.25">
      <c r="A1" t="s">
        <v>43</v>
      </c>
      <c r="B1" t="s">
        <v>42</v>
      </c>
    </row>
    <row r="2" spans="1:2" x14ac:dyDescent="0.25">
      <c r="A2">
        <v>1</v>
      </c>
      <c r="B2" t="s">
        <v>3</v>
      </c>
    </row>
    <row r="3" spans="1:2" x14ac:dyDescent="0.25">
      <c r="A3">
        <v>2</v>
      </c>
      <c r="B3" t="s">
        <v>4</v>
      </c>
    </row>
    <row r="4" spans="1:2" x14ac:dyDescent="0.25">
      <c r="A4">
        <v>3</v>
      </c>
      <c r="B4" t="s">
        <v>5</v>
      </c>
    </row>
    <row r="5" spans="1:2" x14ac:dyDescent="0.25">
      <c r="A5">
        <v>4</v>
      </c>
      <c r="B5" t="s">
        <v>6</v>
      </c>
    </row>
    <row r="6" spans="1:2" x14ac:dyDescent="0.25">
      <c r="A6">
        <v>5</v>
      </c>
      <c r="B6" t="s">
        <v>7</v>
      </c>
    </row>
    <row r="7" spans="1:2" x14ac:dyDescent="0.25">
      <c r="A7">
        <v>6</v>
      </c>
      <c r="B7" t="s">
        <v>8</v>
      </c>
    </row>
    <row r="8" spans="1:2" x14ac:dyDescent="0.25">
      <c r="A8">
        <v>7</v>
      </c>
      <c r="B8" t="s">
        <v>9</v>
      </c>
    </row>
    <row r="9" spans="1:2" x14ac:dyDescent="0.25">
      <c r="A9">
        <v>8</v>
      </c>
      <c r="B9" t="s">
        <v>10</v>
      </c>
    </row>
    <row r="10" spans="1:2" x14ac:dyDescent="0.25">
      <c r="A10">
        <v>9</v>
      </c>
      <c r="B10" t="s">
        <v>11</v>
      </c>
    </row>
    <row r="11" spans="1:2" x14ac:dyDescent="0.25">
      <c r="A11">
        <v>10</v>
      </c>
      <c r="B11" t="s">
        <v>12</v>
      </c>
    </row>
    <row r="12" spans="1:2" x14ac:dyDescent="0.25">
      <c r="A12">
        <v>11</v>
      </c>
      <c r="B12" t="s">
        <v>13</v>
      </c>
    </row>
    <row r="13" spans="1:2" x14ac:dyDescent="0.25">
      <c r="A13">
        <v>12</v>
      </c>
      <c r="B13" t="s">
        <v>14</v>
      </c>
    </row>
    <row r="14" spans="1:2" x14ac:dyDescent="0.25">
      <c r="A14">
        <v>13</v>
      </c>
      <c r="B14" t="s">
        <v>15</v>
      </c>
    </row>
    <row r="15" spans="1:2" x14ac:dyDescent="0.25">
      <c r="A15">
        <v>14</v>
      </c>
      <c r="B15" t="s">
        <v>16</v>
      </c>
    </row>
    <row r="16" spans="1:2" x14ac:dyDescent="0.25">
      <c r="A16">
        <v>15</v>
      </c>
      <c r="B16" t="s">
        <v>17</v>
      </c>
    </row>
    <row r="17" spans="1:2" x14ac:dyDescent="0.25">
      <c r="A17">
        <v>16</v>
      </c>
      <c r="B17" t="s">
        <v>18</v>
      </c>
    </row>
    <row r="18" spans="1:2" x14ac:dyDescent="0.25">
      <c r="A18">
        <v>17</v>
      </c>
      <c r="B18" t="s">
        <v>19</v>
      </c>
    </row>
    <row r="19" spans="1:2" x14ac:dyDescent="0.25">
      <c r="A19">
        <v>18</v>
      </c>
      <c r="B19" t="s">
        <v>20</v>
      </c>
    </row>
    <row r="20" spans="1:2" x14ac:dyDescent="0.25">
      <c r="A20">
        <v>19</v>
      </c>
      <c r="B20" t="s">
        <v>21</v>
      </c>
    </row>
    <row r="21" spans="1:2" x14ac:dyDescent="0.25">
      <c r="A21">
        <v>20</v>
      </c>
      <c r="B21" t="s">
        <v>22</v>
      </c>
    </row>
    <row r="22" spans="1:2" x14ac:dyDescent="0.25">
      <c r="A22">
        <v>21</v>
      </c>
      <c r="B22" t="s">
        <v>23</v>
      </c>
    </row>
    <row r="23" spans="1:2" x14ac:dyDescent="0.25">
      <c r="A23">
        <v>22</v>
      </c>
      <c r="B23" t="s">
        <v>24</v>
      </c>
    </row>
    <row r="24" spans="1:2" x14ac:dyDescent="0.25">
      <c r="A24">
        <v>23</v>
      </c>
      <c r="B24" t="s">
        <v>25</v>
      </c>
    </row>
    <row r="25" spans="1:2" x14ac:dyDescent="0.25">
      <c r="A25">
        <v>24</v>
      </c>
      <c r="B25" t="s">
        <v>26</v>
      </c>
    </row>
    <row r="26" spans="1:2" x14ac:dyDescent="0.25">
      <c r="A26">
        <v>25</v>
      </c>
      <c r="B26" t="s">
        <v>27</v>
      </c>
    </row>
    <row r="27" spans="1:2" x14ac:dyDescent="0.25">
      <c r="A27">
        <v>26</v>
      </c>
      <c r="B27" t="s">
        <v>28</v>
      </c>
    </row>
    <row r="28" spans="1:2" x14ac:dyDescent="0.25">
      <c r="A28">
        <v>27</v>
      </c>
      <c r="B28" t="s">
        <v>29</v>
      </c>
    </row>
    <row r="29" spans="1:2" x14ac:dyDescent="0.25">
      <c r="A29">
        <v>28</v>
      </c>
      <c r="B29" t="s">
        <v>30</v>
      </c>
    </row>
    <row r="30" spans="1:2" x14ac:dyDescent="0.25">
      <c r="A30">
        <v>29</v>
      </c>
      <c r="B30" t="s">
        <v>31</v>
      </c>
    </row>
    <row r="31" spans="1:2" x14ac:dyDescent="0.25">
      <c r="A31">
        <v>30</v>
      </c>
      <c r="B31" t="s">
        <v>32</v>
      </c>
    </row>
    <row r="32" spans="1:2" x14ac:dyDescent="0.25">
      <c r="A32">
        <v>31</v>
      </c>
      <c r="B32" t="s">
        <v>33</v>
      </c>
    </row>
    <row r="33" spans="1:2" x14ac:dyDescent="0.25">
      <c r="A33">
        <v>32</v>
      </c>
      <c r="B33" t="s">
        <v>34</v>
      </c>
    </row>
    <row r="34" spans="1:2" x14ac:dyDescent="0.25">
      <c r="A34">
        <v>33</v>
      </c>
      <c r="B34" t="s">
        <v>35</v>
      </c>
    </row>
    <row r="35" spans="1:2" x14ac:dyDescent="0.25">
      <c r="A35">
        <v>34</v>
      </c>
      <c r="B35" t="s">
        <v>36</v>
      </c>
    </row>
    <row r="36" spans="1:2" x14ac:dyDescent="0.25">
      <c r="A36">
        <v>35</v>
      </c>
      <c r="B36" t="s">
        <v>37</v>
      </c>
    </row>
    <row r="37" spans="1:2" x14ac:dyDescent="0.25">
      <c r="A37">
        <v>36</v>
      </c>
      <c r="B37" t="s">
        <v>38</v>
      </c>
    </row>
    <row r="38" spans="1:2" x14ac:dyDescent="0.25">
      <c r="A38">
        <v>37</v>
      </c>
      <c r="B38" t="s">
        <v>39</v>
      </c>
    </row>
    <row r="39" spans="1:2" x14ac:dyDescent="0.25">
      <c r="A39">
        <v>38</v>
      </c>
      <c r="B39" t="s">
        <v>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8BBEC192-0790-4EFE-A802-E26447B03FB3}">
  <ds:schemaRefs/>
</ds:datastoreItem>
</file>

<file path=customXml/itemProps2.xml><?xml version="1.0" encoding="utf-8"?>
<ds:datastoreItem xmlns:ds="http://schemas.openxmlformats.org/officeDocument/2006/customXml" ds:itemID="{4E6631B0-96AA-44B7-B18A-9970FFCC8FB7}">
  <ds:schemaRefs/>
</ds:datastoreItem>
</file>

<file path=customXml/itemProps3.xml><?xml version="1.0" encoding="utf-8"?>
<ds:datastoreItem xmlns:ds="http://schemas.openxmlformats.org/officeDocument/2006/customXml" ds:itemID="{3F3B5DD7-C4DA-46BC-80FD-DA39FDB1572A}">
  <ds:schemaRefs/>
</ds:datastoreItem>
</file>

<file path=customXml/itemProps4.xml><?xml version="1.0" encoding="utf-8"?>
<ds:datastoreItem xmlns:ds="http://schemas.openxmlformats.org/officeDocument/2006/customXml" ds:itemID="{494253E6-7B82-4E34-A8D3-E4B22946EA73}">
  <ds:schemaRefs/>
</ds:datastoreItem>
</file>

<file path=customXml/itemProps5.xml><?xml version="1.0" encoding="utf-8"?>
<ds:datastoreItem xmlns:ds="http://schemas.openxmlformats.org/officeDocument/2006/customXml" ds:itemID="{B6EE605C-3C5E-4540-966E-A87885E5D35A}">
  <ds:schemaRefs/>
</ds:datastoreItem>
</file>

<file path=customXml/itemProps6.xml><?xml version="1.0" encoding="utf-8"?>
<ds:datastoreItem xmlns:ds="http://schemas.openxmlformats.org/officeDocument/2006/customXml" ds:itemID="{7464E964-1342-4FB7-8C0F-935B4DB71942}">
  <ds:schemaRefs/>
</ds:datastoreItem>
</file>

<file path=customXml/itemProps7.xml><?xml version="1.0" encoding="utf-8"?>
<ds:datastoreItem xmlns:ds="http://schemas.openxmlformats.org/officeDocument/2006/customXml" ds:itemID="{99F60F02-AB05-4835-905A-063427A42CF9}">
  <ds:schemaRefs/>
</ds:datastoreItem>
</file>

<file path=customXml/itemProps8.xml><?xml version="1.0" encoding="utf-8"?>
<ds:datastoreItem xmlns:ds="http://schemas.openxmlformats.org/officeDocument/2006/customXml" ds:itemID="{02158496-31CA-452F-83D3-D4B2C9034AEA}">
  <ds:schemaRefs/>
</ds:datastoreItem>
</file>

<file path=customXml/itemProps9.xml><?xml version="1.0" encoding="utf-8"?>
<ds:datastoreItem xmlns:ds="http://schemas.openxmlformats.org/officeDocument/2006/customXml" ds:itemID="{DFEE681D-6D5D-4C8D-B476-0ABB7B6D1F9E}">
  <ds:schemaRefs/>
</ds:datastoreItem>
</file>

<file path=customXml/itemProps10.xml><?xml version="1.0" encoding="utf-8"?>
<ds:datastoreItem xmlns:ds="http://schemas.openxmlformats.org/officeDocument/2006/customXml" ds:itemID="{A1D627E8-377F-46B7-9D79-C83E80F39632}">
  <ds:schemaRefs/>
</ds:datastoreItem>
</file>

<file path=customXml/itemProps11.xml><?xml version="1.0" encoding="utf-8"?>
<ds:datastoreItem xmlns:ds="http://schemas.openxmlformats.org/officeDocument/2006/customXml" ds:itemID="{59F57550-E233-4F9F-A3CB-5DA5D3AA58CF}">
  <ds:schemaRefs/>
</ds:datastoreItem>
</file>

<file path=customXml/itemProps12.xml><?xml version="1.0" encoding="utf-8"?>
<ds:datastoreItem xmlns:ds="http://schemas.openxmlformats.org/officeDocument/2006/customXml" ds:itemID="{7F6FE3BE-A8CA-404C-9536-62A5C514B51B}">
  <ds:schemaRefs/>
</ds:datastoreItem>
</file>

<file path=customXml/itemProps13.xml><?xml version="1.0" encoding="utf-8"?>
<ds:datastoreItem xmlns:ds="http://schemas.openxmlformats.org/officeDocument/2006/customXml" ds:itemID="{5CC7DA28-2BBB-4DB8-AA92-319AE1B75E6A}">
  <ds:schemaRefs/>
</ds:datastoreItem>
</file>

<file path=customXml/itemProps14.xml><?xml version="1.0" encoding="utf-8"?>
<ds:datastoreItem xmlns:ds="http://schemas.openxmlformats.org/officeDocument/2006/customXml" ds:itemID="{010D88E1-9785-43F2-9BEB-92D234A343E4}">
  <ds:schemaRefs/>
</ds:datastoreItem>
</file>

<file path=customXml/itemProps15.xml><?xml version="1.0" encoding="utf-8"?>
<ds:datastoreItem xmlns:ds="http://schemas.openxmlformats.org/officeDocument/2006/customXml" ds:itemID="{987B3AF2-C79A-4352-9B2E-B75C98D0BF4F}">
  <ds:schemaRefs/>
</ds:datastoreItem>
</file>

<file path=customXml/itemProps16.xml><?xml version="1.0" encoding="utf-8"?>
<ds:datastoreItem xmlns:ds="http://schemas.openxmlformats.org/officeDocument/2006/customXml" ds:itemID="{B82B1241-E31F-4622-87EB-C4E870D3AB62}">
  <ds:schemaRefs/>
</ds:datastoreItem>
</file>

<file path=customXml/itemProps17.xml><?xml version="1.0" encoding="utf-8"?>
<ds:datastoreItem xmlns:ds="http://schemas.openxmlformats.org/officeDocument/2006/customXml" ds:itemID="{976CA79F-30CC-4C11-BD98-71DF061662FD}">
  <ds:schemaRefs/>
</ds:datastoreItem>
</file>

<file path=customXml/itemProps18.xml><?xml version="1.0" encoding="utf-8"?>
<ds:datastoreItem xmlns:ds="http://schemas.openxmlformats.org/officeDocument/2006/customXml" ds:itemID="{7ECE88D8-10B7-493F-8E93-E96BEA4B95FE}">
  <ds:schemaRefs/>
</ds:datastoreItem>
</file>

<file path=customXml/itemProps19.xml><?xml version="1.0" encoding="utf-8"?>
<ds:datastoreItem xmlns:ds="http://schemas.openxmlformats.org/officeDocument/2006/customXml" ds:itemID="{5D44B884-6A1F-443C-985E-F6F1E9C141C2}">
  <ds:schemaRefs/>
</ds:datastoreItem>
</file>

<file path=customXml/itemProps20.xml><?xml version="1.0" encoding="utf-8"?>
<ds:datastoreItem xmlns:ds="http://schemas.openxmlformats.org/officeDocument/2006/customXml" ds:itemID="{5464B34C-025D-4B35-AD84-47165A4DECD8}">
  <ds:schemaRefs/>
</ds:datastoreItem>
</file>

<file path=customXml/itemProps21.xml><?xml version="1.0" encoding="utf-8"?>
<ds:datastoreItem xmlns:ds="http://schemas.openxmlformats.org/officeDocument/2006/customXml" ds:itemID="{13F7C7BD-FBF2-4879-89BF-A3CC61000A9A}">
  <ds:schemaRefs/>
</ds:datastoreItem>
</file>

<file path=customXml/itemProps22.xml><?xml version="1.0" encoding="utf-8"?>
<ds:datastoreItem xmlns:ds="http://schemas.openxmlformats.org/officeDocument/2006/customXml" ds:itemID="{12D02793-A708-48FF-A0E7-1BD1F055E5ED}">
  <ds:schemaRefs/>
</ds:datastoreItem>
</file>

<file path=customXml/itemProps23.xml><?xml version="1.0" encoding="utf-8"?>
<ds:datastoreItem xmlns:ds="http://schemas.openxmlformats.org/officeDocument/2006/customXml" ds:itemID="{D9172988-0430-4F86-AE38-D6A425089F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Homepage</vt:lpstr>
      <vt:lpstr>Dashboard Report</vt:lpstr>
      <vt:lpstr>Report Sheet</vt:lpstr>
      <vt:lpstr>Total Debt Master</vt:lpstr>
      <vt:lpstr>Multilateral Debt Master </vt:lpstr>
      <vt:lpstr>Master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fahd</dc:creator>
  <cp:lastModifiedBy>fahd</cp:lastModifiedBy>
  <dcterms:created xsi:type="dcterms:W3CDTF">2021-07-11T18:48:09Z</dcterms:created>
  <dcterms:modified xsi:type="dcterms:W3CDTF">2021-11-02T07:37:17Z</dcterms:modified>
</cp:coreProperties>
</file>